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3946" windowHeight="21975" tabRatio="500" firstSheet="0" activeTab="0" autoFilterDateGrouping="1"/>
  </bookViews>
  <sheets>
    <sheet xmlns:r="http://schemas.openxmlformats.org/officeDocument/2006/relationships" name="入力" sheetId="1" state="visible" r:id="rId1"/>
    <sheet xmlns:r="http://schemas.openxmlformats.org/officeDocument/2006/relationships" name="診断書" sheetId="2" state="visible" r:id="rId2"/>
    <sheet xmlns:r="http://schemas.openxmlformats.org/officeDocument/2006/relationships" name="指示書" sheetId="3" state="visible" r:id="rId3"/>
    <sheet xmlns:r="http://schemas.openxmlformats.org/officeDocument/2006/relationships" name="入力ガイド" sheetId="4" state="visible" r:id="rId4"/>
    <sheet xmlns:r="http://schemas.openxmlformats.org/officeDocument/2006/relationships" name="日付選択肢" sheetId="5" state="hidden" r:id="rId5"/>
    <sheet xmlns:r="http://schemas.openxmlformats.org/officeDocument/2006/relationships" name="用法用量マスタ" sheetId="6" state="hidden" r:id="rId6"/>
    <sheet xmlns:r="http://schemas.openxmlformats.org/officeDocument/2006/relationships" name="在外公館リスト" sheetId="7" state="visible" r:id="rId7"/>
  </sheets>
  <definedNames>
    <definedName name="在外公館リスト">在外公館リスト!$A:$B</definedName>
    <definedName name="_xlnm.Print_Area" localSheetId="0">'入力'!$A$1:$J$43</definedName>
    <definedName name="_xlnm.Print_Area" localSheetId="1">'診断書'!$A$1:$F$42</definedName>
    <definedName name="_xlnm.Print_Area" localSheetId="2">'指示書'!$A$1:$F$36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/mm/dd"/>
  </numFmts>
  <fonts count="33">
    <font>
      <name val="Calibri"/>
      <charset val="1"/>
      <family val="2"/>
      <color theme="1"/>
      <sz val="11"/>
    </font>
    <font>
      <name val="Noto Sans CJK SC"/>
      <charset val="1"/>
      <family val="2"/>
      <b val="1"/>
      <sz val="13"/>
    </font>
    <font>
      <name val="Yu Gothic"/>
      <charset val="128"/>
      <family val="3"/>
      <color rgb="FF808080"/>
      <sz val="9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color rgb="FF808080"/>
      <sz val="9"/>
    </font>
    <font>
      <name val="Noto Sans CJK SC"/>
      <charset val="1"/>
      <family val="2"/>
      <b val="1"/>
      <sz val="10"/>
    </font>
    <font>
      <name val="Noto Sans CJK SC"/>
      <charset val="1"/>
      <family val="2"/>
      <sz val="9"/>
    </font>
    <font>
      <name val="Noto Sans CJK SC"/>
      <charset val="1"/>
      <b val="1"/>
      <sz val="9"/>
    </font>
    <font>
      <name val="Noto Sans CJK SC"/>
      <charset val="1"/>
      <family val="2"/>
      <sz val="10"/>
    </font>
    <font>
      <name val="Yu Gothic"/>
      <charset val="128"/>
      <family val="3"/>
      <sz val="10"/>
    </font>
    <font>
      <name val="Noto Sans CJK SC"/>
      <charset val="1"/>
      <sz val="9"/>
    </font>
    <font>
      <name val="Noto Sans CJK SC"/>
      <charset val="1"/>
      <b val="1"/>
      <sz val="10"/>
    </font>
    <font>
      <name val="Yu Gothic"/>
      <charset val="128"/>
      <family val="3"/>
      <sz val="10"/>
    </font>
    <font>
      <name val="Yu Gothic"/>
      <charset val="128"/>
      <family val="3"/>
      <color rgb="FF1F4E78"/>
      <sz val="10"/>
    </font>
    <font>
      <name val="Noto Sans CJK SC"/>
      <charset val="1"/>
      <family val="2"/>
      <i val="1"/>
      <color rgb="FF808080"/>
      <sz val="8"/>
    </font>
    <font>
      <name val="Noto Sans CJK SC"/>
      <charset val="1"/>
      <family val="2"/>
      <b val="1"/>
      <sz val="9"/>
    </font>
    <font>
      <name val="Yu Gothic"/>
      <charset val="128"/>
      <family val="3"/>
      <b val="1"/>
      <sz val="9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FF0000"/>
      <sz val="10"/>
    </font>
    <font>
      <name val="Noto Sans CJK SC"/>
      <charset val="1"/>
      <family val="2"/>
      <b val="1"/>
      <sz val="16"/>
    </font>
    <font>
      <name val="Noto Sans CJK SC"/>
      <charset val="1"/>
      <family val="2"/>
      <sz val="8"/>
    </font>
    <font>
      <name val="Noto Sans CJK SC"/>
      <charset val="1"/>
      <family val="2"/>
      <b val="1"/>
      <sz val="10"/>
      <u val="single"/>
    </font>
    <font>
      <name val="Noto Sans CJK SC"/>
      <charset val="1"/>
      <family val="2"/>
      <sz val="8.5"/>
    </font>
    <font>
      <name val="Noto Sans CJK SC"/>
      <charset val="1"/>
      <family val="2"/>
      <b val="1"/>
      <color rgb="FFFF0000"/>
      <sz val="9.5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Calibri"/>
      <charset val="1"/>
      <family val="2"/>
      <color theme="1"/>
      <sz val="9"/>
    </font>
    <font>
      <name val="Noto Sans CJK SC"/>
      <color theme="1"/>
      <sz val="9"/>
    </font>
    <font>
      <name val="Yu Gothic"/>
      <charset val="128"/>
      <family val="3"/>
      <color theme="1"/>
      <sz val="10"/>
    </font>
    <font>
      <name val="Noto Sans CJK SC"/>
      <color theme="1"/>
      <sz val="10"/>
    </font>
    <font>
      <name val="ＭＳ ゴシック"/>
      <charset val="128"/>
      <family val="3"/>
      <b val="1"/>
      <sz val="9"/>
    </font>
  </fonts>
  <fills count="10">
    <fill>
      <patternFill/>
    </fill>
    <fill>
      <patternFill patternType="gray125"/>
    </fill>
    <fill>
      <patternFill patternType="solid">
        <fgColor rgb="FFD9D9D9"/>
        <bgColor rgb="FFC6EFCE"/>
      </patternFill>
    </fill>
    <fill>
      <patternFill patternType="solid">
        <fgColor rgb="FFF2F2F2"/>
        <bgColor rgb="FFF2FBF2"/>
      </patternFill>
    </fill>
    <fill>
      <patternFill patternType="solid">
        <fgColor rgb="FFFFFF99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F2FBF2"/>
        <bgColor rgb="FFF2F2F2"/>
      </patternFill>
    </fill>
    <fill>
      <patternFill patternType="solid">
        <fgColor rgb="FFFFFFFF"/>
        <bgColor rgb="FFF2FBF2"/>
      </patternFill>
    </fill>
    <fill>
      <patternFill patternType="solid">
        <fgColor rgb="FFFFFF99"/>
        <bgColor indexed="64"/>
      </patternFill>
    </fill>
    <fill>
      <patternFill patternType="solid">
        <fgColor rgb="FFBFBFBF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5" fillId="0" borderId="0" pivotButton="0" quotePrefix="0" xfId="0"/>
    <xf numFmtId="0" fontId="8" fillId="0" borderId="0" applyAlignment="1" pivotButton="0" quotePrefix="0" xfId="0">
      <alignment vertical="top" wrapText="1"/>
    </xf>
    <xf numFmtId="0" fontId="24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7" borderId="1" applyAlignment="1" pivotButton="0" quotePrefix="0" xfId="0">
      <alignment horizontal="left" vertical="top" wrapText="1"/>
    </xf>
    <xf numFmtId="0" fontId="8" fillId="7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8" fillId="4" borderId="1" applyAlignment="1" applyProtection="1" pivotButton="0" quotePrefix="0" xfId="0">
      <alignment horizontal="left" vertical="center"/>
      <protection locked="0" hidden="0"/>
    </xf>
    <xf numFmtId="0" fontId="27" fillId="4" borderId="1" applyAlignment="1" applyProtection="1" pivotButton="0" quotePrefix="0" xfId="0">
      <alignment horizontal="left" vertical="center"/>
      <protection locked="0" hidden="0"/>
    </xf>
    <xf numFmtId="0" fontId="27" fillId="4" borderId="1" applyAlignment="1" applyProtection="1" pivotButton="0" quotePrefix="0" xfId="0">
      <alignment horizontal="left" vertical="center"/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/>
      <protection locked="0" hidden="0"/>
    </xf>
    <xf numFmtId="0" fontId="8" fillId="4" borderId="1" applyAlignment="1" applyProtection="1" pivotButton="0" quotePrefix="0" xfId="0">
      <alignment horizontal="center" vertical="center"/>
      <protection locked="0" hidden="0"/>
    </xf>
    <xf numFmtId="0" fontId="12" fillId="4" borderId="1" applyAlignment="1" applyProtection="1" pivotButton="0" quotePrefix="0" xfId="0">
      <alignment horizontal="left" vertical="center"/>
      <protection locked="0" hidden="0"/>
    </xf>
    <xf numFmtId="0" fontId="30" fillId="8" borderId="0" applyAlignment="1" applyProtection="1" pivotButton="0" quotePrefix="0" xfId="0">
      <alignment horizontal="center"/>
      <protection locked="0" hidden="0"/>
    </xf>
    <xf numFmtId="0" fontId="31" fillId="8" borderId="2" applyAlignment="1" applyProtection="1" pivotButton="0" quotePrefix="0" xfId="0">
      <alignment horizontal="left"/>
      <protection locked="0" hidden="0"/>
    </xf>
    <xf numFmtId="0" fontId="9" fillId="4" borderId="1" applyAlignment="1" applyProtection="1" pivotButton="0" quotePrefix="0" xfId="0">
      <alignment horizontal="left" vertical="center"/>
      <protection locked="0" hidden="0"/>
    </xf>
    <xf numFmtId="0" fontId="12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center" vertical="center"/>
      <protection locked="0" hidden="0"/>
    </xf>
    <xf numFmtId="0" fontId="0" fillId="9" borderId="0" pivotButton="0" quotePrefix="0" xfId="0"/>
    <xf numFmtId="164" fontId="2" fillId="9" borderId="0" pivotButton="0" quotePrefix="0" xfId="0"/>
    <xf numFmtId="0" fontId="4" fillId="9" borderId="0" pivotButton="0" quotePrefix="0" xfId="0"/>
    <xf numFmtId="0" fontId="32" fillId="2" borderId="1" applyAlignment="1" pivotButton="0" quotePrefix="0" xfId="0">
      <alignment horizontal="center" vertical="center"/>
    </xf>
    <xf numFmtId="0" fontId="0" fillId="0" borderId="2" applyProtection="1" pivotButton="0" quotePrefix="0" xfId="0">
      <protection locked="0" hidden="0"/>
    </xf>
    <xf numFmtId="0" fontId="0" fillId="8" borderId="2" applyProtection="1" pivotButton="0" quotePrefix="0" xfId="0">
      <protection locked="0" hidden="0"/>
    </xf>
    <xf numFmtId="164" fontId="2" fillId="9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2" pivotButton="0" quotePrefix="0" xfId="0"/>
  </cellXfs>
  <cellStyles count="1">
    <cellStyle name="標準" xfId="0" builtinId="0"/>
  </cellStyles>
  <dxfs count="4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B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43"/>
  <sheetViews>
    <sheetView showGridLines="0" tabSelected="1" topLeftCell="A4" zoomScaleNormal="100" workbookViewId="0">
      <selection activeCell="H25" sqref="H25"/>
    </sheetView>
  </sheetViews>
  <sheetFormatPr baseColWidth="8" defaultColWidth="8.73046875" defaultRowHeight="14.25"/>
  <cols>
    <col width="4" customWidth="1" style="67" min="1" max="1"/>
    <col width="16" customWidth="1" style="67" min="2" max="2"/>
    <col width="14" customWidth="1" style="67" min="3" max="3"/>
    <col width="12.33203125" customWidth="1" style="67" min="4" max="4"/>
    <col width="14" customWidth="1" style="67" min="5" max="5"/>
    <col width="9.53125" customWidth="1" style="67" min="6" max="6"/>
    <col width="14" customWidth="1" style="67" min="7" max="8"/>
    <col width="4" customWidth="1" style="67" min="9" max="9"/>
    <col width="9" customWidth="1" style="67" min="10" max="15"/>
    <col hidden="1" width="13" customWidth="1" style="67" min="16" max="17"/>
    <col hidden="1" width="8.73046875" customWidth="1" style="67" min="18" max="16384"/>
    <col hidden="1" width="13" customWidth="1" style="32" min="19" max="19"/>
    <col hidden="1" width="13" customWidth="1" style="32" min="20" max="20"/>
  </cols>
  <sheetData>
    <row r="1" ht="43.5" customHeight="1" s="32">
      <c r="A1" s="31" t="inlineStr">
        <is>
          <t>医薬品購送依頼書　入力シート　－　ここに入力すると「診断書」「指示書」シートに自動反映されます</t>
        </is>
      </c>
      <c r="P1" s="73">
        <f>IF(D13="","",DATE(D13,F13,H13))</f>
        <v/>
      </c>
    </row>
    <row r="2" ht="16.5" customHeight="1" s="32">
      <c r="A2" s="33" t="inlineStr">
        <is>
          <t>※黄色いセルに入力してください。「診断書」「指示書」シートは自動生成されるので直接編集しないでください。</t>
        </is>
      </c>
      <c r="P2" s="73">
        <f>IF($P$1="","",EDATE($P$1,3))</f>
        <v/>
      </c>
    </row>
    <row r="3" ht="16.5" customHeight="1" s="32">
      <c r="P3" s="69">
        <f>IF(B24&lt;&gt;"","（１）","")&amp;IF(B25&lt;&gt;"","（２）","")&amp;IF(B26&lt;&gt;"","（３）","")&amp;IF(B27&lt;&gt;"","（４）","")&amp;IF(B28&lt;&gt;"","（５）","")&amp;IF(B29&lt;&gt;"","（６）","")&amp;IF(B30&lt;&gt;"","（７）","")&amp;IF(B31&lt;&gt;"","（８）","")&amp;IF(B32&lt;&gt;"","（９）","")&amp;IF(B33&lt;&gt;"","（１０）","")</f>
        <v/>
      </c>
    </row>
    <row r="4" ht="16.5" customHeight="1" s="32">
      <c r="A4" s="34" t="inlineStr">
        <is>
          <t>■基本情報</t>
        </is>
      </c>
      <c r="B4" s="74" t="n"/>
      <c r="C4" s="74" t="n"/>
      <c r="D4" s="74" t="n"/>
      <c r="E4" s="74" t="n"/>
      <c r="F4" s="74" t="n"/>
      <c r="G4" s="74" t="n"/>
      <c r="H4" s="75" t="n"/>
      <c r="P4" s="69">
        <f>IF(COUNT(I24:I33)=0,"",IF(AND(MAX(I24:I33)=MIN(I24:I33),COUNTIFS(B24:B33,"&lt;&gt;",T24:T33,0)=0),MAX(I24:I33),"各薬"))</f>
        <v/>
      </c>
    </row>
    <row r="5" ht="16.5" customHeight="1" s="32">
      <c r="A5" s="35" t="inlineStr">
        <is>
          <t>患者氏名</t>
        </is>
      </c>
      <c r="B5" s="74" t="n"/>
      <c r="C5" s="75" t="n"/>
      <c r="D5" s="36" t="inlineStr">
        <is>
          <t>姓</t>
        </is>
      </c>
      <c r="E5" s="59" t="n"/>
      <c r="F5" s="76" t="n"/>
      <c r="G5" s="36" t="inlineStr">
        <is>
          <t>名</t>
        </is>
      </c>
      <c r="H5" s="57" t="n"/>
    </row>
    <row r="6" ht="16.5" customHeight="1" s="32">
      <c r="A6" s="35" t="inlineStr">
        <is>
          <t>フリガナ</t>
        </is>
      </c>
      <c r="B6" s="74" t="n"/>
      <c r="C6" s="75" t="n"/>
      <c r="D6" s="36" t="inlineStr">
        <is>
          <t>セイ</t>
        </is>
      </c>
      <c r="E6" s="57" t="n"/>
      <c r="F6" s="76" t="n"/>
      <c r="G6" s="36" t="inlineStr">
        <is>
          <t>メイ</t>
        </is>
      </c>
      <c r="H6" s="57" t="n"/>
    </row>
    <row r="7" ht="16.5" customHeight="1" s="32">
      <c r="A7" s="35" t="inlineStr">
        <is>
          <t>生年月日（西暦）</t>
        </is>
      </c>
      <c r="B7" s="74" t="n"/>
      <c r="C7" s="75" t="n"/>
      <c r="D7" s="58" t="n"/>
      <c r="E7" s="37" t="inlineStr">
        <is>
          <t>年</t>
        </is>
      </c>
      <c r="F7" s="58" t="n"/>
      <c r="G7" s="37" t="inlineStr">
        <is>
          <t>月</t>
        </is>
      </c>
      <c r="H7" s="58" t="n"/>
      <c r="I7" s="37" t="inlineStr">
        <is>
          <t>日</t>
        </is>
      </c>
    </row>
    <row r="8" ht="16.5" customHeight="1" s="32">
      <c r="A8" s="38" t="inlineStr">
        <is>
          <t>職員コード</t>
        </is>
      </c>
      <c r="B8" s="74" t="n"/>
      <c r="C8" s="75" t="n"/>
      <c r="D8" s="59" t="n"/>
      <c r="E8" s="36" t="inlineStr">
        <is>
          <t>続柄</t>
        </is>
      </c>
      <c r="F8" s="66" t="n"/>
      <c r="G8" s="77" t="n"/>
      <c r="H8" s="76" t="n"/>
    </row>
    <row r="9" ht="16.5" customHeight="1" s="32">
      <c r="A9" s="35" t="inlineStr">
        <is>
          <t>職員氏名</t>
        </is>
      </c>
      <c r="B9" s="74" t="n"/>
      <c r="C9" s="75" t="n"/>
      <c r="D9" s="70" t="inlineStr">
        <is>
          <t>姓</t>
        </is>
      </c>
      <c r="E9" s="59" t="n"/>
      <c r="F9" s="76" t="n"/>
      <c r="G9" s="36" t="inlineStr">
        <is>
          <t>名</t>
        </is>
      </c>
      <c r="H9" s="59" t="n"/>
    </row>
    <row r="10" ht="16.5" customHeight="1" s="32">
      <c r="A10" s="39" t="inlineStr">
        <is>
          <t>■所属（患者所属／医務官所属）※在外公館コードのセルの▼を押すと一覧表から選べます</t>
        </is>
      </c>
      <c r="B10" s="74" t="n"/>
      <c r="C10" s="74" t="n"/>
      <c r="D10" s="74" t="n"/>
      <c r="E10" s="74" t="n"/>
      <c r="F10" s="74" t="n"/>
      <c r="G10" s="74" t="n"/>
      <c r="H10" s="75" t="n"/>
    </row>
    <row r="11" ht="15" customHeight="1" s="32">
      <c r="A11" s="38" t="inlineStr">
        <is>
          <t>患者所属</t>
        </is>
      </c>
      <c r="B11" s="75" t="n"/>
      <c r="C11" s="36" t="inlineStr">
        <is>
          <t>在外公館コード</t>
        </is>
      </c>
      <c r="D11" s="61" t="n"/>
      <c r="E11" s="77" t="n"/>
      <c r="F11" s="76" t="n"/>
      <c r="G11" s="40" t="n"/>
      <c r="H11" s="41" t="n"/>
    </row>
    <row r="12" ht="16.5" customHeight="1" s="32">
      <c r="A12" s="38" t="inlineStr">
        <is>
          <t>医務官所属</t>
        </is>
      </c>
      <c r="B12" s="75" t="n"/>
      <c r="D12" s="61" t="n"/>
      <c r="E12" s="77" t="n"/>
      <c r="F12" s="76" t="n"/>
      <c r="G12" s="40" t="n"/>
      <c r="H12" s="41" t="n"/>
    </row>
    <row r="13" ht="16.5" customHeight="1" s="32">
      <c r="A13" s="35" t="inlineStr">
        <is>
          <t>発行日（西暦）</t>
        </is>
      </c>
      <c r="B13" s="74" t="n"/>
      <c r="C13" s="75" t="n"/>
      <c r="D13" s="62" t="n"/>
      <c r="E13" s="42" t="inlineStr">
        <is>
          <t>年</t>
        </is>
      </c>
      <c r="F13" s="62" t="n"/>
      <c r="G13" s="42" t="inlineStr">
        <is>
          <t>月</t>
        </is>
      </c>
      <c r="H13" s="62" t="n"/>
    </row>
    <row r="14" ht="15" customHeight="1" s="32">
      <c r="A14" s="43" t="inlineStr">
        <is>
          <t>（発行日は西暦で入力してください。例：2026）</t>
        </is>
      </c>
    </row>
    <row r="15" ht="16.5" customHeight="1" s="32">
      <c r="A15" s="35" t="inlineStr">
        <is>
          <t>医務官／健康管理医氏名</t>
        </is>
      </c>
      <c r="B15" s="74" t="n"/>
      <c r="C15" s="75" t="n"/>
      <c r="D15" s="36" t="inlineStr">
        <is>
          <t>姓</t>
        </is>
      </c>
      <c r="E15" s="57" t="n"/>
      <c r="F15" s="76" t="n"/>
      <c r="G15" s="36" t="inlineStr">
        <is>
          <t>名</t>
        </is>
      </c>
      <c r="H15" s="57" t="n"/>
    </row>
    <row r="16" ht="15" customHeight="1" s="32"/>
    <row r="17" ht="15" customHeight="1" s="32">
      <c r="A17" s="34" t="inlineStr">
        <is>
          <t>■追加設定</t>
        </is>
      </c>
      <c r="B17" s="74" t="n"/>
      <c r="C17" s="74" t="n"/>
      <c r="D17" s="74" t="n"/>
      <c r="E17" s="74" t="n"/>
      <c r="F17" s="74" t="n"/>
      <c r="G17" s="74" t="n"/>
      <c r="H17" s="75" t="n"/>
    </row>
    <row r="18" ht="18" customHeight="1" s="32">
      <c r="A18" s="44" t="inlineStr">
        <is>
          <t>病名（慢性疾患）※自由入力</t>
        </is>
      </c>
      <c r="B18" s="74" t="n"/>
      <c r="C18" s="75" t="n"/>
      <c r="D18" s="63" t="n"/>
      <c r="E18" s="78" t="n"/>
      <c r="F18" s="78" t="n"/>
      <c r="G18" s="78" t="n"/>
      <c r="H18" s="79" t="n"/>
    </row>
    <row r="19" ht="18" customHeight="1" s="32">
      <c r="D19" s="80" t="n"/>
      <c r="E19" s="80" t="n"/>
      <c r="F19" s="80" t="n"/>
      <c r="G19" s="80" t="n"/>
      <c r="H19" s="71" t="n"/>
    </row>
    <row r="20" ht="16.5" customHeight="1" s="32">
      <c r="A20" s="35" t="inlineStr">
        <is>
          <t>後発医薬品への変更不可</t>
        </is>
      </c>
      <c r="B20" s="74" t="n"/>
      <c r="C20" s="75" t="n"/>
      <c r="D20" s="58" t="inlineStr">
        <is>
          <t>→ 服用薬の表のJ列で薬ごとに「不可」を選んでください</t>
        </is>
      </c>
    </row>
    <row r="21" ht="16.5" customHeight="1" s="32"/>
    <row r="22" ht="16.5" customHeight="1" s="32">
      <c r="A22" s="34" t="inlineStr">
        <is>
          <t>■服用薬（最大10件）：用法は一覧から選ぶか直接入力（「分2 朝夕食後」のように回数は「分n」）。用量（1回量）に文字を入れると自由記載になります。</t>
        </is>
      </c>
      <c r="B22" s="74" t="n"/>
      <c r="C22" s="74" t="n"/>
      <c r="D22" s="74" t="n"/>
      <c r="E22" s="74" t="n"/>
      <c r="F22" s="74" t="n"/>
      <c r="G22" s="74" t="n"/>
      <c r="H22" s="74" t="n"/>
      <c r="I22" s="75" t="n"/>
    </row>
    <row r="23" ht="27.75" customHeight="1" s="32">
      <c r="A23" s="45" t="inlineStr">
        <is>
          <t>No</t>
        </is>
      </c>
      <c r="B23" s="46" t="inlineStr">
        <is>
          <t>薬品名</t>
        </is>
      </c>
      <c r="C23" s="46" t="inlineStr">
        <is>
          <t>含有量</t>
        </is>
      </c>
      <c r="D23" s="46" t="inlineStr">
        <is>
          <t>用法</t>
        </is>
      </c>
      <c r="E23" s="47" t="inlineStr">
        <is>
          <t>用量
（1回量）</t>
        </is>
      </c>
      <c r="F23" s="47" t="inlineStr">
        <is>
          <t>単位</t>
        </is>
      </c>
      <c r="G23" s="47" t="inlineStr">
        <is>
          <t>1日分使用量
（自動計算）</t>
        </is>
      </c>
      <c r="H23" s="47" t="inlineStr">
        <is>
          <t>剤形</t>
        </is>
      </c>
      <c r="I23" s="47" t="inlineStr">
        <is>
          <t>日数
（頓服は回数）</t>
        </is>
      </c>
      <c r="J23" s="47" t="inlineStr">
        <is>
          <t>後発品
変更不可</t>
        </is>
      </c>
    </row>
    <row r="24" ht="16.5" customHeight="1" s="32">
      <c r="A24" s="48" t="n">
        <v>1</v>
      </c>
      <c r="B24" s="59" t="n"/>
      <c r="C24" s="59" t="n"/>
      <c r="D24" s="64" t="n"/>
      <c r="E24" s="65" t="n"/>
      <c r="F24" s="66" t="n"/>
      <c r="G24" s="49">
        <f>IF(OR(D24="",E24=""),"",IF(NOT(ISNUMBER(E24)),"",IF(IFERROR(VALUE(MID(ASC(D24),2,FIND(" ",ASC(D24)&amp;" ")-2)),IFERROR(VALUE(LEFT(D24,FIND("X",UPPER(ASC(D24)))-1)),0))=0,"",IFERROR(VALUE(MID(ASC(D24),2,FIND(" ",ASC(D24)&amp;" ")-2)),IFERROR(VALUE(LEFT(D24,FIND("X",UPPER(ASC(D24)))-1)),0))*E24&amp;F24)))</f>
        <v/>
      </c>
      <c r="H24" s="66" t="n"/>
      <c r="I24" s="65" t="n"/>
      <c r="J24" s="65" t="n"/>
      <c r="Q24" s="69">
        <f>IF(B24="","","（1）"&amp;B24&amp;C24&amp;IF(J24="不可","【後発品変更不可】","")&amp;"　"&amp;D24&amp;"　"&amp;R24&amp;"　"&amp;S24)</f>
        <v/>
      </c>
      <c r="R24">
        <f>IF(B24="","",IF(NOT(ISNUMBER(E24)),E24,IF(G24="","1回"&amp;E24&amp;F24,"1回"&amp;E24&amp;F24&amp;"（1日"&amp;G24&amp;"）")))</f>
        <v/>
      </c>
      <c r="S24">
        <f>IF(OR(B24="",I24=""),"",I24&amp;IF(T24=1,"日分","回分"))</f>
        <v/>
      </c>
      <c r="T24">
        <f>IF(D24="",0,IF(OR(LEFT(ASC(D24),1)="分",ISNUMBER(SEARCH("X",ASC(D24)))),1,0))</f>
        <v/>
      </c>
    </row>
    <row r="25" ht="16.5" customHeight="1" s="32">
      <c r="A25" s="48" t="n">
        <v>2</v>
      </c>
      <c r="B25" s="59" t="n"/>
      <c r="C25" s="59" t="n"/>
      <c r="D25" s="59" t="n"/>
      <c r="E25" s="65" t="n"/>
      <c r="F25" s="66" t="n"/>
      <c r="G25" s="49">
        <f>IF(OR(D25="",E25=""),"",IF(NOT(ISNUMBER(E25)),"",IF(IFERROR(VALUE(MID(ASC(D25),2,FIND(" ",ASC(D25)&amp;" ")-2)),IFERROR(VALUE(LEFT(D25,FIND("X",UPPER(ASC(D25)))-1)),0))=0,"",IFERROR(VALUE(MID(ASC(D25),2,FIND(" ",ASC(D25)&amp;" ")-2)),IFERROR(VALUE(LEFT(D25,FIND("X",UPPER(ASC(D25)))-1)),0))*E25&amp;F25)))</f>
        <v/>
      </c>
      <c r="H25" s="66" t="n"/>
      <c r="I25" s="65" t="n"/>
      <c r="J25" s="65" t="n"/>
      <c r="Q25" s="69">
        <f>IF(B25="","","（2）"&amp;B25&amp;C25&amp;IF(J25="不可","【後発品変更不可】","")&amp;"　"&amp;D25&amp;"　"&amp;R25&amp;"　"&amp;S25)</f>
        <v/>
      </c>
      <c r="R25">
        <f>IF(B25="","",IF(NOT(ISNUMBER(E25)),E25,IF(G25="","1回"&amp;E25&amp;F25,"1回"&amp;E25&amp;F25&amp;"（1日"&amp;G25&amp;"）")))</f>
        <v/>
      </c>
      <c r="S25">
        <f>IF(OR(B25="",I25=""),"",I25&amp;IF(T25=1,"日分","回分"))</f>
        <v/>
      </c>
      <c r="T25">
        <f>IF(D25="",0,IF(OR(LEFT(ASC(D25),1)="分",ISNUMBER(SEARCH("X",ASC(D25)))),1,0))</f>
        <v/>
      </c>
    </row>
    <row r="26" ht="16.5" customHeight="1" s="32">
      <c r="A26" s="48" t="n">
        <v>3</v>
      </c>
      <c r="B26" s="59" t="n"/>
      <c r="C26" s="59" t="n"/>
      <c r="D26" s="59" t="n"/>
      <c r="E26" s="65" t="n"/>
      <c r="F26" s="66" t="n"/>
      <c r="G26" s="49">
        <f>IF(OR(D26="",E26=""),"",IF(NOT(ISNUMBER(E26)),"",IF(IFERROR(VALUE(MID(ASC(D26),2,FIND(" ",ASC(D26)&amp;" ")-2)),IFERROR(VALUE(LEFT(D26,FIND("X",UPPER(ASC(D26)))-1)),0))=0,"",IFERROR(VALUE(MID(ASC(D26),2,FIND(" ",ASC(D26)&amp;" ")-2)),IFERROR(VALUE(LEFT(D26,FIND("X",UPPER(ASC(D26)))-1)),0))*E26&amp;F26)))</f>
        <v/>
      </c>
      <c r="H26" s="66" t="n"/>
      <c r="I26" s="65" t="n"/>
      <c r="J26" s="65" t="n"/>
      <c r="Q26" s="69">
        <f>IF(B26="","","（3）"&amp;B26&amp;C26&amp;IF(J26="不可","【後発品変更不可】","")&amp;"　"&amp;D26&amp;"　"&amp;R26&amp;"　"&amp;S26)</f>
        <v/>
      </c>
      <c r="R26">
        <f>IF(B26="","",IF(NOT(ISNUMBER(E26)),E26,IF(G26="","1回"&amp;E26&amp;F26,"1回"&amp;E26&amp;F26&amp;"（1日"&amp;G26&amp;"）")))</f>
        <v/>
      </c>
      <c r="S26">
        <f>IF(OR(B26="",I26=""),"",I26&amp;IF(T26=1,"日分","回分"))</f>
        <v/>
      </c>
      <c r="T26">
        <f>IF(D26="",0,IF(OR(LEFT(ASC(D26),1)="分",ISNUMBER(SEARCH("X",ASC(D26)))),1,0))</f>
        <v/>
      </c>
    </row>
    <row r="27" ht="16.5" customHeight="1" s="32">
      <c r="A27" s="48" t="n">
        <v>4</v>
      </c>
      <c r="B27" s="59" t="n"/>
      <c r="C27" s="59" t="n"/>
      <c r="D27" s="59" t="n"/>
      <c r="E27" s="65" t="n"/>
      <c r="F27" s="66" t="n"/>
      <c r="G27" s="49">
        <f>IF(OR(D27="",E27=""),"",IF(NOT(ISNUMBER(E27)),"",IF(IFERROR(VALUE(MID(ASC(D27),2,FIND(" ",ASC(D27)&amp;" ")-2)),IFERROR(VALUE(LEFT(D27,FIND("X",UPPER(ASC(D27)))-1)),0))=0,"",IFERROR(VALUE(MID(ASC(D27),2,FIND(" ",ASC(D27)&amp;" ")-2)),IFERROR(VALUE(LEFT(D27,FIND("X",UPPER(ASC(D27)))-1)),0))*E27&amp;F27)))</f>
        <v/>
      </c>
      <c r="H27" s="66" t="n"/>
      <c r="I27" s="65" t="n"/>
      <c r="J27" s="65" t="n"/>
      <c r="Q27" s="69">
        <f>IF(B27="","","（4）"&amp;B27&amp;C27&amp;IF(J27="不可","【後発品変更不可】","")&amp;"　"&amp;D27&amp;"　"&amp;R27&amp;"　"&amp;S27)</f>
        <v/>
      </c>
      <c r="R27">
        <f>IF(B27="","",IF(NOT(ISNUMBER(E27)),E27,IF(G27="","1回"&amp;E27&amp;F27,"1回"&amp;E27&amp;F27&amp;"（1日"&amp;G27&amp;"）")))</f>
        <v/>
      </c>
      <c r="S27">
        <f>IF(OR(B27="",I27=""),"",I27&amp;IF(T27=1,"日分","回分"))</f>
        <v/>
      </c>
      <c r="T27">
        <f>IF(D27="",0,IF(OR(LEFT(ASC(D27),1)="分",ISNUMBER(SEARCH("X",ASC(D27)))),1,0))</f>
        <v/>
      </c>
    </row>
    <row r="28" ht="16.5" customHeight="1" s="32">
      <c r="A28" s="48" t="n">
        <v>5</v>
      </c>
      <c r="B28" s="59" t="n"/>
      <c r="C28" s="59" t="n"/>
      <c r="D28" s="59" t="n"/>
      <c r="E28" s="65" t="n"/>
      <c r="F28" s="66" t="n"/>
      <c r="G28" s="49">
        <f>IF(OR(D28="",E28=""),"",IF(NOT(ISNUMBER(E28)),"",IF(IFERROR(VALUE(MID(ASC(D28),2,FIND(" ",ASC(D28)&amp;" ")-2)),IFERROR(VALUE(LEFT(D28,FIND("X",UPPER(ASC(D28)))-1)),0))=0,"",IFERROR(VALUE(MID(ASC(D28),2,FIND(" ",ASC(D28)&amp;" ")-2)),IFERROR(VALUE(LEFT(D28,FIND("X",UPPER(ASC(D28)))-1)),0))*E28&amp;F28)))</f>
        <v/>
      </c>
      <c r="H28" s="66" t="n"/>
      <c r="I28" s="65" t="n"/>
      <c r="J28" s="65" t="n"/>
      <c r="Q28" s="69">
        <f>IF(B28="","","（5）"&amp;B28&amp;C28&amp;IF(J28="不可","【後発品変更不可】","")&amp;"　"&amp;D28&amp;"　"&amp;R28&amp;"　"&amp;S28)</f>
        <v/>
      </c>
      <c r="R28">
        <f>IF(B28="","",IF(NOT(ISNUMBER(E28)),E28,IF(G28="","1回"&amp;E28&amp;F28,"1回"&amp;E28&amp;F28&amp;"（1日"&amp;G28&amp;"）")))</f>
        <v/>
      </c>
      <c r="S28">
        <f>IF(OR(B28="",I28=""),"",I28&amp;IF(T28=1,"日分","回分"))</f>
        <v/>
      </c>
      <c r="T28">
        <f>IF(D28="",0,IF(OR(LEFT(ASC(D28),1)="分",ISNUMBER(SEARCH("X",ASC(D28)))),1,0))</f>
        <v/>
      </c>
    </row>
    <row r="29" ht="16.5" customHeight="1" s="32">
      <c r="A29" s="48" t="n">
        <v>6</v>
      </c>
      <c r="B29" s="59" t="n"/>
      <c r="C29" s="59" t="n"/>
      <c r="D29" s="59" t="n"/>
      <c r="E29" s="65" t="n"/>
      <c r="F29" s="66" t="n"/>
      <c r="G29" s="49">
        <f>IF(OR(D29="",E29=""),"",IF(NOT(ISNUMBER(E29)),"",IF(IFERROR(VALUE(MID(ASC(D29),2,FIND(" ",ASC(D29)&amp;" ")-2)),IFERROR(VALUE(LEFT(D29,FIND("X",UPPER(ASC(D29)))-1)),0))=0,"",IFERROR(VALUE(MID(ASC(D29),2,FIND(" ",ASC(D29)&amp;" ")-2)),IFERROR(VALUE(LEFT(D29,FIND("X",UPPER(ASC(D29)))-1)),0))*E29&amp;F29)))</f>
        <v/>
      </c>
      <c r="H29" s="66" t="n"/>
      <c r="I29" s="65" t="n"/>
      <c r="J29" s="65" t="n"/>
      <c r="Q29" s="69">
        <f>IF(B29="","","（6）"&amp;B29&amp;C29&amp;IF(J29="不可","【後発品変更不可】","")&amp;"　"&amp;D29&amp;"　"&amp;R29&amp;"　"&amp;S29)</f>
        <v/>
      </c>
      <c r="R29">
        <f>IF(B29="","",IF(NOT(ISNUMBER(E29)),E29,IF(G29="","1回"&amp;E29&amp;F29,"1回"&amp;E29&amp;F29&amp;"（1日"&amp;G29&amp;"）")))</f>
        <v/>
      </c>
      <c r="S29">
        <f>IF(OR(B29="",I29=""),"",I29&amp;IF(T29=1,"日分","回分"))</f>
        <v/>
      </c>
      <c r="T29">
        <f>IF(D29="",0,IF(OR(LEFT(ASC(D29),1)="分",ISNUMBER(SEARCH("X",ASC(D29)))),1,0))</f>
        <v/>
      </c>
    </row>
    <row r="30" ht="16.5" customHeight="1" s="32">
      <c r="A30" s="48" t="n">
        <v>7</v>
      </c>
      <c r="B30" s="59" t="n"/>
      <c r="C30" s="59" t="n"/>
      <c r="D30" s="59" t="n"/>
      <c r="E30" s="65" t="n"/>
      <c r="F30" s="66" t="n"/>
      <c r="G30" s="49">
        <f>IF(OR(D30="",E30=""),"",IF(NOT(ISNUMBER(E30)),"",IF(IFERROR(VALUE(MID(ASC(D30),2,FIND(" ",ASC(D30)&amp;" ")-2)),IFERROR(VALUE(LEFT(D30,FIND("X",UPPER(ASC(D30)))-1)),0))=0,"",IFERROR(VALUE(MID(ASC(D30),2,FIND(" ",ASC(D30)&amp;" ")-2)),IFERROR(VALUE(LEFT(D30,FIND("X",UPPER(ASC(D30)))-1)),0))*E30&amp;F30)))</f>
        <v/>
      </c>
      <c r="H30" s="66" t="n"/>
      <c r="I30" s="65" t="n"/>
      <c r="J30" s="65" t="n"/>
      <c r="Q30" s="69">
        <f>IF(B30="","","（7）"&amp;B30&amp;C30&amp;IF(J30="不可","【後発品変更不可】","")&amp;"　"&amp;D30&amp;"　"&amp;R30&amp;"　"&amp;S30)</f>
        <v/>
      </c>
      <c r="R30">
        <f>IF(B30="","",IF(NOT(ISNUMBER(E30)),E30,IF(G30="","1回"&amp;E30&amp;F30,"1回"&amp;E30&amp;F30&amp;"（1日"&amp;G30&amp;"）")))</f>
        <v/>
      </c>
      <c r="S30">
        <f>IF(OR(B30="",I30=""),"",I30&amp;IF(T30=1,"日分","回分"))</f>
        <v/>
      </c>
      <c r="T30">
        <f>IF(D30="",0,IF(OR(LEFT(ASC(D30),1)="分",ISNUMBER(SEARCH("X",ASC(D30)))),1,0))</f>
        <v/>
      </c>
    </row>
    <row r="31" ht="16.5" customHeight="1" s="32">
      <c r="A31" s="48" t="n">
        <v>8</v>
      </c>
      <c r="B31" s="59" t="n"/>
      <c r="C31" s="59" t="n"/>
      <c r="D31" s="59" t="n"/>
      <c r="E31" s="65" t="n"/>
      <c r="F31" s="66" t="n"/>
      <c r="G31" s="49">
        <f>IF(OR(D31="",E31=""),"",IF(NOT(ISNUMBER(E31)),"",IF(IFERROR(VALUE(MID(ASC(D31),2,FIND(" ",ASC(D31)&amp;" ")-2)),IFERROR(VALUE(LEFT(D31,FIND("X",UPPER(ASC(D31)))-1)),0))=0,"",IFERROR(VALUE(MID(ASC(D31),2,FIND(" ",ASC(D31)&amp;" ")-2)),IFERROR(VALUE(LEFT(D31,FIND("X",UPPER(ASC(D31)))-1)),0))*E31&amp;F31)))</f>
        <v/>
      </c>
      <c r="H31" s="66" t="n"/>
      <c r="I31" s="65" t="n"/>
      <c r="J31" s="65" t="n"/>
      <c r="Q31" s="69">
        <f>IF(B31="","","（8）"&amp;B31&amp;C31&amp;IF(J31="不可","【後発品変更不可】","")&amp;"　"&amp;D31&amp;"　"&amp;R31&amp;"　"&amp;S31)</f>
        <v/>
      </c>
      <c r="R31">
        <f>IF(B31="","",IF(NOT(ISNUMBER(E31)),E31,IF(G31="","1回"&amp;E31&amp;F31,"1回"&amp;E31&amp;F31&amp;"（1日"&amp;G31&amp;"）")))</f>
        <v/>
      </c>
      <c r="S31">
        <f>IF(OR(B31="",I31=""),"",I31&amp;IF(T31=1,"日分","回分"))</f>
        <v/>
      </c>
      <c r="T31">
        <f>IF(D31="",0,IF(OR(LEFT(ASC(D31),1)="分",ISNUMBER(SEARCH("X",ASC(D31)))),1,0))</f>
        <v/>
      </c>
    </row>
    <row r="32" ht="16.5" customHeight="1" s="32">
      <c r="A32" s="48" t="n">
        <v>9</v>
      </c>
      <c r="B32" s="59" t="n"/>
      <c r="C32" s="59" t="n"/>
      <c r="D32" s="59" t="n"/>
      <c r="E32" s="65" t="n"/>
      <c r="F32" s="66" t="n"/>
      <c r="G32" s="49">
        <f>IF(OR(D32="",E32=""),"",IF(NOT(ISNUMBER(E32)),"",IF(IFERROR(VALUE(MID(ASC(D32),2,FIND(" ",ASC(D32)&amp;" ")-2)),IFERROR(VALUE(LEFT(D32,FIND("X",UPPER(ASC(D32)))-1)),0))=0,"",IFERROR(VALUE(MID(ASC(D32),2,FIND(" ",ASC(D32)&amp;" ")-2)),IFERROR(VALUE(LEFT(D32,FIND("X",UPPER(ASC(D32)))-1)),0))*E32&amp;F32)))</f>
        <v/>
      </c>
      <c r="H32" s="66" t="n"/>
      <c r="I32" s="65" t="n"/>
      <c r="J32" s="65" t="n"/>
      <c r="Q32" s="69">
        <f>IF(B32="","","（9）"&amp;B32&amp;C32&amp;IF(J32="不可","【後発品変更不可】","")&amp;"　"&amp;D32&amp;"　"&amp;R32&amp;"　"&amp;S32)</f>
        <v/>
      </c>
      <c r="R32">
        <f>IF(B32="","",IF(NOT(ISNUMBER(E32)),E32,IF(G32="","1回"&amp;E32&amp;F32,"1回"&amp;E32&amp;F32&amp;"（1日"&amp;G32&amp;"）")))</f>
        <v/>
      </c>
      <c r="S32">
        <f>IF(OR(B32="",I32=""),"",I32&amp;IF(T32=1,"日分","回分"))</f>
        <v/>
      </c>
      <c r="T32">
        <f>IF(D32="",0,IF(OR(LEFT(ASC(D32),1)="分",ISNUMBER(SEARCH("X",ASC(D32)))),1,0))</f>
        <v/>
      </c>
    </row>
    <row r="33" ht="16.5" customHeight="1" s="32">
      <c r="A33" s="48" t="n">
        <v>10</v>
      </c>
      <c r="B33" s="59" t="n"/>
      <c r="C33" s="59" t="n"/>
      <c r="D33" s="59" t="n"/>
      <c r="E33" s="65" t="n"/>
      <c r="F33" s="66" t="n"/>
      <c r="G33" s="49">
        <f>IF(OR(D33="",E33=""),"",IF(NOT(ISNUMBER(E33)),"",IF(IFERROR(VALUE(MID(ASC(D33),2,FIND(" ",ASC(D33)&amp;" ")-2)),IFERROR(VALUE(LEFT(D33,FIND("X",UPPER(ASC(D33)))-1)),0))=0,"",IFERROR(VALUE(MID(ASC(D33),2,FIND(" ",ASC(D33)&amp;" ")-2)),IFERROR(VALUE(LEFT(D33,FIND("X",UPPER(ASC(D33)))-1)),0))*E33&amp;F33)))</f>
        <v/>
      </c>
      <c r="H33" s="66" t="n"/>
      <c r="I33" s="65" t="n"/>
      <c r="J33" s="65" t="n"/>
      <c r="Q33" s="69">
        <f>IF(B33="","","（10）"&amp;B33&amp;C33&amp;IF(J33="不可","【後発品変更不可】","")&amp;"　"&amp;D33&amp;"　"&amp;R33&amp;"　"&amp;S33)</f>
        <v/>
      </c>
      <c r="R33">
        <f>IF(B33="","",IF(NOT(ISNUMBER(E33)),E33,IF(G33="","1回"&amp;E33&amp;F33,"1回"&amp;E33&amp;F33&amp;"（1日"&amp;G33&amp;"）")))</f>
        <v/>
      </c>
      <c r="S33">
        <f>IF(OR(B33="",I33=""),"",I33&amp;IF(T33=1,"日分","回分"))</f>
        <v/>
      </c>
      <c r="T33">
        <f>IF(D33="",0,IF(OR(LEFT(ASC(D33),1)="分",ISNUMBER(SEARCH("X",ASC(D33)))),1,0))</f>
        <v/>
      </c>
    </row>
    <row r="34" ht="15" customHeight="1" s="32"/>
    <row r="35" ht="15" customHeight="1" s="32">
      <c r="A35" s="34" t="inlineStr">
        <is>
          <t>■整合性チェック（自動判定）</t>
        </is>
      </c>
      <c r="B35" s="74" t="n"/>
      <c r="C35" s="74" t="n"/>
      <c r="D35" s="74" t="n"/>
      <c r="E35" s="74" t="n"/>
      <c r="F35" s="74" t="n"/>
      <c r="G35" s="74" t="n"/>
      <c r="H35" s="75" t="n"/>
    </row>
    <row r="36" ht="15" customHeight="1" s="32">
      <c r="A36" s="50" t="inlineStr">
        <is>
          <t>① 基本情報（患者氏名・生年月日・職員コード・職員氏名・所属・発行日）が入力されているか</t>
        </is>
      </c>
      <c r="B36" s="74" t="n"/>
      <c r="C36" s="74" t="n"/>
      <c r="D36" s="75" t="n"/>
      <c r="E36" s="51">
        <f>IF(AND(E5&lt;&gt;"",H5&lt;&gt;"",D7&lt;&gt;"",E9&lt;&gt;"",H9&lt;&gt;"",D13&lt;&gt;"",D8&lt;&gt;"",D11&lt;&gt;"",D12&lt;&gt;""),"OK","未入力あり（患者氏名／生年月日／発行日／職員コード／職員氏名／患者所属／医務官所属を確認）")</f>
        <v/>
      </c>
      <c r="F36" s="74" t="n"/>
      <c r="G36" s="74" t="n"/>
      <c r="H36" s="75" t="n"/>
    </row>
    <row r="37" ht="15.75" customHeight="1" s="32">
      <c r="A37" s="50" t="inlineStr">
        <is>
          <t>② 発行日から有効期限（3ヶ月）内か</t>
        </is>
      </c>
      <c r="B37" s="74" t="n"/>
      <c r="C37" s="74" t="n"/>
      <c r="D37" s="75" t="n"/>
      <c r="E37" s="51">
        <f>IF($P$1="","未入力（発行日）",IF(TODAY()&lt;=$P$2,"OK（有効期限："&amp;TEXT($P$2,"yyyy/mm/dd")&amp;"）","期限切れ（有効期限："&amp;TEXT($P$2,"yyyy/mm/dd")&amp;"）"))</f>
        <v/>
      </c>
      <c r="F37" s="74" t="n"/>
      <c r="G37" s="74" t="n"/>
      <c r="H37" s="75" t="n"/>
    </row>
    <row r="38" ht="15.75" customHeight="1" s="32">
      <c r="A38" s="50" t="inlineStr">
        <is>
          <t>③ 服用薬が1件以上入力されているか</t>
        </is>
      </c>
      <c r="B38" s="74" t="n"/>
      <c r="C38" s="74" t="n"/>
      <c r="D38" s="75" t="n"/>
      <c r="E38" s="51">
        <f>IF(COUNTA(B24:B33)&gt;0,"OK","未入力（薬品が1件も入力されていません）")</f>
        <v/>
      </c>
      <c r="F38" s="74" t="n"/>
      <c r="G38" s="74" t="n"/>
      <c r="H38" s="75" t="n"/>
    </row>
    <row r="39" ht="15" customHeight="1" s="32">
      <c r="A39" s="50" t="inlineStr">
        <is>
          <t>④ 入力済みの薬品行に含有量・用法用量・数量・処方日数の抜けがないか</t>
        </is>
      </c>
      <c r="B39" s="74" t="n"/>
      <c r="C39" s="74" t="n"/>
      <c r="D39" s="75" t="n"/>
      <c r="E39" s="51">
        <f>IF(SUMPRODUCT((B24:B33&lt;&gt;"")*((C24:C33="")+(D24:D33="")+(E24:E33="")+(I24:I33="")))=0,"OK","入力漏れあり（含有量／用法／用量／日数を確認）")</f>
        <v/>
      </c>
      <c r="F39" s="74" t="n"/>
      <c r="G39" s="74" t="n"/>
      <c r="H39" s="75" t="n"/>
    </row>
    <row r="40" ht="15" customHeight="1" s="32">
      <c r="A40" s="50" t="inlineStr">
        <is>
          <t>⑤ 購送不可の剤形（液体・軟膏・スプレー式・坐薬・冷所品）が含まれていないか</t>
        </is>
      </c>
      <c r="B40" s="74" t="n"/>
      <c r="C40" s="74" t="n"/>
      <c r="D40" s="75" t="n"/>
      <c r="E40" s="51">
        <f>IF(COUNTIF(H24:H33,"液体")+COUNTIF(H24:H33,"軟膏")+COUNTIF(H24:H33,"スプレー式")+COUNTIF(H24:H33,"坐薬")+COUNTIF(H24:H33,"冷所品")=0,"OK","購送不可の剤形あり（液体／軟膏／スプレー式／坐薬／冷所品は購送不可。吸入薬はガス不使用の喘息用に限り購送可）")</f>
        <v/>
      </c>
      <c r="F40" s="74" t="n"/>
      <c r="G40" s="74" t="n"/>
      <c r="H40" s="75" t="n"/>
    </row>
    <row r="41" ht="15" customHeight="1" s="32">
      <c r="A41" s="52" t="inlineStr">
        <is>
          <t>⑥ 記名押印・署名（医師本人によるご確認をお願いします）</t>
        </is>
      </c>
      <c r="B41" s="74" t="n"/>
      <c r="C41" s="74" t="n"/>
      <c r="D41" s="75" t="n"/>
      <c r="E41" s="53" t="inlineStr">
        <is>
          <t>要人手確認</t>
        </is>
      </c>
      <c r="F41" s="74" t="n"/>
      <c r="G41" s="74" t="n"/>
      <c r="H41" s="75" t="n"/>
    </row>
    <row r="42" ht="21.75" customHeight="1" s="32"/>
    <row r="43" ht="21.75" customHeight="1" s="32">
      <c r="A43" s="54">
        <f>IF(COUNTIF(E36:E40,"OK*")=5,"✅　自動チェック5項目すべてクリア（⑥署名は別途ご確認ください）","⚠　要確認項目があります（上記①〜⑤をご確認ください）")</f>
        <v/>
      </c>
      <c r="B43" s="74" t="n"/>
      <c r="C43" s="74" t="n"/>
      <c r="D43" s="74" t="n"/>
      <c r="E43" s="74" t="n"/>
      <c r="F43" s="74" t="n"/>
      <c r="G43" s="74" t="n"/>
      <c r="H43" s="75" t="n"/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1"/>
  <mergeCells count="40">
    <mergeCell ref="D11:F11"/>
    <mergeCell ref="A11:B11"/>
    <mergeCell ref="A38:D38"/>
    <mergeCell ref="A18:C18"/>
    <mergeCell ref="F8:H8"/>
    <mergeCell ref="E5:F5"/>
    <mergeCell ref="A1:H1"/>
    <mergeCell ref="E41:H41"/>
    <mergeCell ref="E37:H37"/>
    <mergeCell ref="D18:H19"/>
    <mergeCell ref="A40:D40"/>
    <mergeCell ref="A5:C5"/>
    <mergeCell ref="A8:C8"/>
    <mergeCell ref="A14:I14"/>
    <mergeCell ref="A39:D39"/>
    <mergeCell ref="D12:F12"/>
    <mergeCell ref="A22:I22"/>
    <mergeCell ref="E9:F9"/>
    <mergeCell ref="A20:C20"/>
    <mergeCell ref="A36:D36"/>
    <mergeCell ref="A12:B12"/>
    <mergeCell ref="A13:C13"/>
    <mergeCell ref="E6:F6"/>
    <mergeCell ref="E39:H39"/>
    <mergeCell ref="E15:F15"/>
    <mergeCell ref="A2:H2"/>
    <mergeCell ref="E38:H38"/>
    <mergeCell ref="A9:C9"/>
    <mergeCell ref="A41:D41"/>
    <mergeCell ref="A15:C15"/>
    <mergeCell ref="A17:H17"/>
    <mergeCell ref="A4:H4"/>
    <mergeCell ref="A37:D37"/>
    <mergeCell ref="E40:H40"/>
    <mergeCell ref="A35:H35"/>
    <mergeCell ref="A43:H43"/>
    <mergeCell ref="A6:C6"/>
    <mergeCell ref="A10:H10"/>
    <mergeCell ref="A7:C7"/>
    <mergeCell ref="E36:H36"/>
  </mergeCells>
  <conditionalFormatting sqref="A43:H43">
    <cfRule type="expression" priority="4" dxfId="1">
      <formula>LEFT(A43,1)="✅"</formula>
    </cfRule>
    <cfRule type="expression" priority="5" dxfId="0">
      <formula>LEFT(A43,1)="⚠"</formula>
    </cfRule>
  </conditionalFormatting>
  <conditionalFormatting sqref="E36:E40">
    <cfRule type="expression" priority="2" dxfId="1">
      <formula>LEFT(E36,2)="OK"</formula>
    </cfRule>
    <cfRule type="expression" priority="3" dxfId="0">
      <formula>LEFT(E36,2)&lt;&gt;"OK"</formula>
    </cfRule>
  </conditionalFormatting>
  <dataValidations count="10">
    <dataValidation sqref="F8" showDropDown="0" showInputMessage="0" showErrorMessage="1" allowBlank="1" errorTitle="続柄" error="リストから選択してください" promptTitle="続柄を選択" prompt="本人以外の場合は続柄を選択してください（診断書・指示書の職員コード欄に自動で併記されます）" type="list">
      <formula1>"本人,配偶者,子,父,母,その他"</formula1>
      <formula2>0</formula2>
    </dataValidation>
    <dataValidation sqref="H24:H33" showDropDown="0" showInputMessage="0" showErrorMessage="1" allowBlank="1" errorTitle="剤形" error="リストから選択してください" promptTitle="剤形を選択" prompt="喘息用の吸入薬はガス不使用のものに限り購送可能です。液体・軟膏・スプレー式・坐薬・冷所品は購送不可です。" type="list">
      <formula1>"錠剤,顆粒,粉末,貼り薬（湿布薬）,吸入薬（ガス不使用・喘息用）,液体,軟膏,スプレー式,坐薬,冷所品"</formula1>
      <formula2>0</formula2>
    </dataValidation>
    <dataValidation sqref="F24:F33" showDropDown="0" showInputMessage="0" showErrorMessage="1" allowBlank="1" errorTitle="単位" error="リストから選択してください" promptTitle="単位を選択" prompt="1回あたりの用量の単位を選択してください（例：1錠、2カプセル）" type="list">
      <formula1>"錠,カプセル,包,枚,mL,g,滴,その他"</formula1>
      <formula2>0</formula2>
    </dataValidation>
    <dataValidation sqref="D13" showDropDown="0" showInputMessage="1" showErrorMessage="1" allowBlank="1" errorTitle="発行日（年）" error="発行日の西暦年を一覧から選択してください。" type="list" errorStyle="warning">
      <formula1>"2024,2025,2026,2027,2028,2029,2030,2031,2032,2033,2034,2035"</formula1>
    </dataValidation>
    <dataValidation sqref="D11" showDropDown="0" showInputMessage="1" showErrorMessage="0" allowBlank="1" promptTitle="患者所属：在外公館コード" prompt="▼をクリックすると在外公館コード＋公館名の一覧表が出ます。" type="list" errorStyle="warning">
      <formula1>在外公館リスト!$C$4:$C$265</formula1>
    </dataValidation>
    <dataValidation sqref="D12" showDropDown="0" showInputMessage="1" showErrorMessage="0" allowBlank="1" promptTitle="医務官所属：在外公館コード" prompt="▼をクリックすると在外公館コード＋公館名の一覧表が出ます。" type="list" errorStyle="warning">
      <formula1>在外公館リスト!$C$4:$C$265</formula1>
    </dataValidation>
    <dataValidation sqref="D24:D33" showDropDown="0" showInputMessage="1" showErrorMessage="0" allowBlank="1" promptTitle="用法" prompt="一覧から選ぶか、直接入力してください（例：分2 朝夕食後）。" type="list" errorStyle="warning">
      <formula1>用法用量マスタ!$A$2:$A$60</formula1>
    </dataValidation>
    <dataValidation sqref="F13" showDropDown="0" showInputMessage="0" showErrorMessage="0" allowBlank="1" type="list" errorStyle="warning">
      <formula1>日付選択肢!$C$2:$C$13</formula1>
    </dataValidation>
    <dataValidation sqref="H13" showDropDown="0" showInputMessage="0" showErrorMessage="0" allowBlank="1" type="list" errorStyle="warning">
      <formula1>日付選択肢!$D$2:$D$32</formula1>
    </dataValidation>
    <dataValidation sqref="J24:J33" showDropDown="0" showInputMessage="1" showErrorMessage="1" allowBlank="1" promptTitle="後発医薬品への変更不可" prompt="変更不可の薬だけ「不可」を選んでください。" type="list" errorStyle="stop">
      <formula1>"不可"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1"/>
  <sheetViews>
    <sheetView showGridLines="0" zoomScaleNormal="100" workbookViewId="0">
      <selection activeCell="A1" sqref="A1:F1"/>
    </sheetView>
  </sheetViews>
  <sheetFormatPr baseColWidth="8" defaultColWidth="8.73046875" defaultRowHeight="14.25"/>
  <cols>
    <col width="14" customWidth="1" style="32" min="1" max="6"/>
  </cols>
  <sheetData>
    <row r="1" ht="15" customHeight="1" s="32">
      <c r="A1" s="10" t="inlineStr">
        <is>
          <t>（原本は医薬品購送申込時に本省へ送付、写しは患者保管）</t>
        </is>
      </c>
    </row>
    <row r="2" ht="25.5" customHeight="1" s="32">
      <c r="A2" s="11" t="inlineStr">
        <is>
          <t>診　断　書</t>
        </is>
      </c>
    </row>
    <row r="3" ht="6" customHeight="1" s="32"/>
    <row r="4" ht="16.5" customHeight="1" s="32">
      <c r="A4" s="12" t="inlineStr">
        <is>
          <t>氏　名　　：</t>
        </is>
      </c>
      <c r="B4" s="75" t="n"/>
      <c r="C4" s="13">
        <f>入力!E5&amp;"　"&amp;入力!H5</f>
        <v/>
      </c>
      <c r="D4" s="74" t="n"/>
      <c r="E4" s="74" t="n"/>
      <c r="F4" s="75" t="n"/>
    </row>
    <row r="5" ht="16.5" customHeight="1" s="32">
      <c r="A5" s="12" t="inlineStr">
        <is>
          <t>職員コード：</t>
        </is>
      </c>
      <c r="B5" s="75" t="n"/>
      <c r="C5" s="13">
        <f>IF(入力!D8="","",IF(OR(入力!F8="",入力!F8="本人"),入力!D8,入力!D8&amp;"（"&amp;入力!F8&amp;"）"))</f>
        <v/>
      </c>
      <c r="D5" s="74" t="n"/>
      <c r="E5" s="74" t="n"/>
      <c r="F5" s="75" t="n"/>
    </row>
    <row r="6" ht="12.75" customHeight="1" s="32">
      <c r="A6" s="14" t="inlineStr">
        <is>
          <t>（館員家族の場合は職員コードに続柄を記入、例：xxxx（妻））</t>
        </is>
      </c>
    </row>
    <row r="7" ht="16.5" customHeight="1" s="32">
      <c r="A7" s="12" t="inlineStr">
        <is>
          <t>生年月日　　：</t>
        </is>
      </c>
      <c r="B7" s="75" t="n"/>
      <c r="C7" s="13">
        <f>IF(入力!D7="","",入力!D7&amp;"年"&amp;入力!F7&amp;"月"&amp;入力!H7&amp;"日")</f>
        <v/>
      </c>
      <c r="D7" s="74" t="n"/>
      <c r="E7" s="74" t="n"/>
      <c r="F7" s="75" t="n"/>
    </row>
    <row r="8" ht="16.5" customHeight="1" s="32">
      <c r="A8" s="12" t="inlineStr">
        <is>
          <t>所　属　　：</t>
        </is>
      </c>
      <c r="B8" s="75" t="n"/>
      <c r="C8" s="13">
        <f>IF(入力!D11="","",IFERROR(MID(入力!D11,FIND("　",入力!D11)+1,LEN(入力!D11)),IFERROR(VLOOKUP(入力!D11,在外公館リスト,2,FALSE()),"該当コードなし")))</f>
        <v/>
      </c>
      <c r="D8" s="74" t="n"/>
      <c r="E8" s="74" t="n"/>
      <c r="F8" s="75" t="n"/>
    </row>
    <row r="9" ht="6" customHeight="1" s="32"/>
    <row r="10" ht="15" customHeight="1" s="32">
      <c r="A10" s="12" t="inlineStr">
        <is>
          <t>１．病名（慢性疾患）：</t>
        </is>
      </c>
      <c r="B10" s="74" t="n"/>
      <c r="C10" s="74" t="n"/>
      <c r="D10" s="74" t="n"/>
      <c r="E10" s="74" t="n"/>
      <c r="F10" s="75" t="n"/>
    </row>
    <row r="11" ht="18" customHeight="1" s="32">
      <c r="A11" s="15">
        <f>IF(入力!D18="","",入力!D18)</f>
        <v/>
      </c>
      <c r="B11" s="81" t="n"/>
      <c r="C11" s="81" t="n"/>
      <c r="D11" s="81" t="n"/>
      <c r="E11" s="81" t="n"/>
      <c r="F11" s="82" t="n"/>
    </row>
    <row r="12" ht="18" customHeight="1" s="32">
      <c r="A12" s="83" t="n"/>
      <c r="B12" s="84" t="n"/>
      <c r="C12" s="84" t="n"/>
      <c r="D12" s="84" t="n"/>
      <c r="E12" s="84" t="n"/>
      <c r="F12" s="85" t="n"/>
    </row>
    <row r="13" ht="6" customHeight="1" s="32"/>
    <row r="14" ht="15" customHeight="1" s="32">
      <c r="A14" s="12" t="inlineStr">
        <is>
          <t>２．服用薬・処方：</t>
        </is>
      </c>
      <c r="B14" s="74" t="n"/>
      <c r="C14" s="74" t="n"/>
      <c r="D14" s="74" t="n"/>
      <c r="E14" s="74" t="n"/>
      <c r="F14" s="75" t="n"/>
    </row>
    <row r="15" ht="15" customHeight="1" s="32">
      <c r="A15" s="16">
        <f>入力!Q24</f>
        <v/>
      </c>
    </row>
    <row r="16" ht="15" customHeight="1" s="32">
      <c r="A16" s="16">
        <f>入力!Q25</f>
        <v/>
      </c>
    </row>
    <row r="17" ht="15" customHeight="1" s="32">
      <c r="A17" s="16">
        <f>入力!Q26</f>
        <v/>
      </c>
    </row>
    <row r="18" ht="15" customHeight="1" s="32">
      <c r="A18" s="16">
        <f>入力!Q27</f>
        <v/>
      </c>
    </row>
    <row r="19" ht="15" customHeight="1" s="32">
      <c r="A19" s="16">
        <f>入力!Q28</f>
        <v/>
      </c>
    </row>
    <row r="20" ht="15" customHeight="1" s="32">
      <c r="A20" s="16">
        <f>入力!Q29</f>
        <v/>
      </c>
    </row>
    <row r="21" ht="15" customHeight="1" s="32">
      <c r="A21" s="16">
        <f>入力!Q30</f>
        <v/>
      </c>
    </row>
    <row r="22" ht="15" customHeight="1" s="32">
      <c r="A22" s="16">
        <f>入力!Q31</f>
        <v/>
      </c>
    </row>
    <row r="23" ht="15" customHeight="1" s="32">
      <c r="A23" s="16">
        <f>入力!Q32</f>
        <v/>
      </c>
    </row>
    <row r="24" ht="15" customHeight="1" s="32">
      <c r="A24" s="16">
        <f>入力!Q33</f>
        <v/>
      </c>
    </row>
    <row r="25" ht="6" customHeight="1" s="32"/>
    <row r="26" ht="15.75" customHeight="1" s="32">
      <c r="A26" s="17">
        <f>IF(入力!D18="","",入力!D18&amp;"にて上記２．"&amp;入力!P3&amp;"を服用中であるが、服用にて症状は安定している。今後も上記医薬品の継続投与が必要であるが、成分等含め相当品が任地にて入手が困難であるので、本邦に購送依頼することが必要である。")</f>
        <v/>
      </c>
    </row>
    <row r="27" ht="15.75" customHeight="1" s="32"/>
    <row r="28" ht="15.75" customHeight="1" s="32"/>
    <row r="29" ht="15.75" customHeight="1" s="32"/>
    <row r="31" ht="15" customHeight="1" s="32">
      <c r="A31" s="18">
        <f>IF(入力!D13="","　　　　年　　月　　日",入力!D13&amp;"年"&amp;入力!F13&amp;"月"&amp;入力!H13&amp;"日")</f>
        <v/>
      </c>
      <c r="D31" s="19">
        <f>IF((IF(入力!D12="","",IFERROR(MID(入力!D12,FIND("　",入力!D12)+1,LEN(入力!D12)),IFERROR(VLOOKUP(入力!D12,在外公館リスト,2,FALSE()),"該当コードなし"))))="","在　　　　　　　　　　　　　館",IF(入力!D12="","",IFERROR(MID(入力!D12,FIND("　",入力!D12)+1,LEN(入力!D12)),IFERROR(VLOOKUP(入力!D12,在外公館リスト,2,FALSE()),"該当コードなし"))))</f>
        <v/>
      </c>
    </row>
    <row r="33" ht="15" customHeight="1" s="32">
      <c r="A33" s="18" t="inlineStr">
        <is>
          <t>医務官氏名：　　　　　　　　　　　　印</t>
        </is>
      </c>
      <c r="D33" s="20" t="inlineStr">
        <is>
          <t>（署名押印）</t>
        </is>
      </c>
    </row>
    <row r="35" ht="15" customHeight="1" s="32">
      <c r="A35" s="21" t="inlineStr">
        <is>
          <t>【注意事項　患者・医師共通】　※必読※</t>
        </is>
      </c>
    </row>
    <row r="36" ht="13.5" customHeight="1" s="32">
      <c r="A36" s="37" t="inlineStr">
        <is>
          <t>１．個人用医薬品購送依頼りん請の都度、本「診断書」も添付が必要。</t>
        </is>
      </c>
    </row>
    <row r="37" ht="13.5" customHeight="1" s="32">
      <c r="A37" s="37" t="inlineStr">
        <is>
          <t>２．必ず署名押印をすること。</t>
        </is>
      </c>
    </row>
    <row r="38" ht="13.5" customHeight="1" s="32">
      <c r="A38" s="37" t="inlineStr">
        <is>
          <t>３．本「診断書」は、福利厚生室にて保管の必要がある。</t>
        </is>
      </c>
    </row>
    <row r="39" ht="13.5" customHeight="1" s="32">
      <c r="A39" s="37" t="inlineStr">
        <is>
          <t>４．本「診断書」の有効期限は３ヶ月で、使用回数は１回限り。</t>
        </is>
      </c>
    </row>
    <row r="40" ht="13.5" customHeight="1" s="32">
      <c r="A40" s="37" t="inlineStr">
        <is>
          <t>５．向精神薬・睡眠薬は３０日、新薬は１４日の処方日数制限がある。</t>
        </is>
      </c>
    </row>
    <row r="41" ht="13.5" customHeight="1" s="32">
      <c r="A41" s="23" t="inlineStr">
        <is>
          <t>６．本診断書原本は、医薬品購送申込時に本省へ送付すること。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6">
    <mergeCell ref="A41:F41"/>
    <mergeCell ref="A16:F16"/>
    <mergeCell ref="C8:F8"/>
    <mergeCell ref="A37:F37"/>
    <mergeCell ref="C7:F7"/>
    <mergeCell ref="A18:F18"/>
    <mergeCell ref="A21:F21"/>
    <mergeCell ref="A2:F2"/>
    <mergeCell ref="A33:C33"/>
    <mergeCell ref="A11:F12"/>
    <mergeCell ref="A7:B7"/>
    <mergeCell ref="A14:F14"/>
    <mergeCell ref="A23:F23"/>
    <mergeCell ref="A22:F22"/>
    <mergeCell ref="A17:F17"/>
    <mergeCell ref="A35:F35"/>
    <mergeCell ref="A20:F20"/>
    <mergeCell ref="C5:F5"/>
    <mergeCell ref="D33:F33"/>
    <mergeCell ref="A38:F38"/>
    <mergeCell ref="A10:F10"/>
    <mergeCell ref="A19:F19"/>
    <mergeCell ref="C4:F4"/>
    <mergeCell ref="A31:C31"/>
    <mergeCell ref="A5:B5"/>
    <mergeCell ref="A40:F40"/>
    <mergeCell ref="A39:F39"/>
    <mergeCell ref="A8:B8"/>
    <mergeCell ref="A15:F15"/>
    <mergeCell ref="A24:F24"/>
    <mergeCell ref="A4:B4"/>
    <mergeCell ref="A36:F36"/>
    <mergeCell ref="D31:F31"/>
    <mergeCell ref="A1:F1"/>
    <mergeCell ref="A26:F29"/>
    <mergeCell ref="A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zoomScaleNormal="100" workbookViewId="0">
      <selection activeCell="A1" sqref="A1:F1"/>
    </sheetView>
  </sheetViews>
  <sheetFormatPr baseColWidth="8" defaultColWidth="8.73046875" defaultRowHeight="14.25"/>
  <cols>
    <col width="22" customWidth="1" style="32" min="1" max="1"/>
    <col width="13" customWidth="1" style="32" min="2" max="6"/>
  </cols>
  <sheetData>
    <row r="1" ht="25.5" customHeight="1" s="32">
      <c r="A1" s="11" t="inlineStr">
        <is>
          <t>指　　示　　書</t>
        </is>
      </c>
    </row>
    <row r="2" ht="15" customHeight="1" s="32">
      <c r="A2" s="18">
        <f>IF(入力!D13="","　　　　年　　月　　日",入力!D13&amp;"年"&amp;入力!F13&amp;"月"&amp;入力!H13&amp;"日")</f>
        <v/>
      </c>
      <c r="D2" s="19">
        <f>IF((IF(入力!D12="","",IFERROR(MID(入力!D12,FIND("　",入力!D12)+1,LEN(入力!D12)),IFERROR(VLOOKUP(入力!D12,在外公館リスト,2,FALSE()),"該当コードなし"))))="","在　　　　　　　　　　　　　館",IF(入力!D12="","",IFERROR(MID(入力!D12,FIND("　",入力!D12)+1,LEN(入力!D12)),IFERROR(VLOOKUP(入力!D12,在外公館リスト,2,FALSE()),"該当コードなし"))))</f>
        <v/>
      </c>
    </row>
    <row r="3" ht="15" customHeight="1" s="32">
      <c r="A3" s="18" t="inlineStr">
        <is>
          <t>健康管理医　　　　　　　　　　　　　印</t>
        </is>
      </c>
      <c r="D3" s="20" t="inlineStr">
        <is>
          <t>（署名押印）</t>
        </is>
      </c>
    </row>
    <row r="4" ht="6" customHeight="1" s="32"/>
    <row r="5" ht="15" customHeight="1" s="32">
      <c r="A5" s="24">
        <f>IF((IF(入力!D12="","",IFERROR(MID(入力!D12,FIND("　",入力!D12)+1,LEN(入力!D12)),IFERROR(VLOOKUP(入力!D12,在外公館リスト,2,FALSE()),"該当コードなし"))))="","在　　　　　　　　　　　　　　　　　大使館",IF(入力!D12="","",IFERROR(MID(入力!D12,FIND("　",入力!D12)+1,LEN(入力!D12)),IFERROR(VLOOKUP(入力!D12,在外公館リスト,2,FALSE()),"該当コードなし"))))</f>
        <v/>
      </c>
      <c r="B5" s="74" t="n"/>
      <c r="C5" s="74" t="n"/>
      <c r="D5" s="74" t="n"/>
      <c r="E5" s="74" t="n"/>
      <c r="F5" s="75" t="n"/>
    </row>
    <row r="6" ht="16.5" customHeight="1" s="32">
      <c r="A6" s="25" t="inlineStr">
        <is>
          <t>患者氏名</t>
        </is>
      </c>
      <c r="B6" s="75" t="n"/>
      <c r="C6" s="13">
        <f>入力!E5&amp;"　"&amp;入力!H5</f>
        <v/>
      </c>
      <c r="D6" s="74" t="n"/>
      <c r="E6" s="74" t="n"/>
      <c r="F6" s="75" t="n"/>
    </row>
    <row r="7" ht="16.5" customHeight="1" s="32">
      <c r="A7" s="25" t="inlineStr">
        <is>
          <t>フリガナ</t>
        </is>
      </c>
      <c r="B7" s="75" t="n"/>
      <c r="C7" s="13">
        <f>IF(AND(入力!E6="",入力!H6=""),"",入力!E6&amp;"　"&amp;入力!H6)</f>
        <v/>
      </c>
      <c r="D7" s="74" t="n"/>
      <c r="E7" s="74" t="n"/>
      <c r="F7" s="75" t="n"/>
    </row>
    <row r="8" ht="16.5" customHeight="1" s="32">
      <c r="A8" s="25" t="inlineStr">
        <is>
          <t>生年月日</t>
        </is>
      </c>
      <c r="B8" s="75" t="n"/>
      <c r="C8" s="13">
        <f>IF(入力!D7="","西暦　　年　　月　　日","西暦"&amp;入力!D7&amp;"年"&amp;入力!F7&amp;"月"&amp;入力!H7&amp;"日")</f>
        <v/>
      </c>
      <c r="D8" s="74" t="n"/>
      <c r="E8" s="74" t="n"/>
      <c r="F8" s="75" t="n"/>
    </row>
    <row r="9" ht="6" customHeight="1" s="32"/>
    <row r="10" ht="15" customHeight="1" s="32">
      <c r="A10" s="18" t="inlineStr">
        <is>
          <t>上記の者に下記の医薬品の服用を指示します。</t>
        </is>
      </c>
    </row>
    <row r="11" ht="15" customHeight="1" s="32">
      <c r="A11" s="26" t="inlineStr">
        <is>
          <t>記</t>
        </is>
      </c>
    </row>
    <row r="12" ht="15" customHeight="1" s="32">
      <c r="A12" s="24" t="inlineStr">
        <is>
          <t>薬品名</t>
        </is>
      </c>
      <c r="B12" s="24" t="inlineStr">
        <is>
          <t>含有量</t>
        </is>
      </c>
      <c r="C12" s="24" t="inlineStr">
        <is>
          <t>用法・用量</t>
        </is>
      </c>
      <c r="D12" s="75" t="n"/>
      <c r="E12" s="24" t="inlineStr">
        <is>
          <t>１日分使用量</t>
        </is>
      </c>
      <c r="F12" s="75" t="n"/>
    </row>
    <row r="13" ht="25.5" customHeight="1" s="32">
      <c r="A13" s="4">
        <f>IF(入力!B24="","（1）","（1）　"&amp;入力!B24&amp;IF(入力!J24="不可","【後発不可】",""))</f>
        <v/>
      </c>
      <c r="B13" s="13">
        <f>IF(入力!C24="","",入力!C24)</f>
        <v/>
      </c>
      <c r="C13" s="27">
        <f>IF(入力!D24="","",入力!D24&amp;"　"&amp;IF(ISNUMBER(入力!E24),"1回"&amp;入力!E24&amp;入力!F24,入力!E24))</f>
        <v/>
      </c>
      <c r="D13" s="75" t="n"/>
      <c r="E13" s="27">
        <f>IF(入力!B24="","",IF(入力!G24="",IF(入力!T24=1,IF(入力!$P$4="各薬",入力!S24,""),入力!S24),入力!G24&amp;IF(入力!$P$4="各薬","（"&amp;入力!S24&amp;"）","")))</f>
        <v/>
      </c>
      <c r="F13" s="75" t="n"/>
    </row>
    <row r="14" ht="25.5" customHeight="1" s="32">
      <c r="A14" s="4">
        <f>IF(入力!B25="","（2）","（2）　"&amp;入力!B25&amp;IF(入力!J25="不可","【後発不可】",""))</f>
        <v/>
      </c>
      <c r="B14" s="13">
        <f>IF(入力!C25="","",入力!C25)</f>
        <v/>
      </c>
      <c r="C14" s="27">
        <f>IF(入力!D25="","",入力!D25&amp;"　"&amp;IF(ISNUMBER(入力!E25),"1回"&amp;入力!E25&amp;入力!F25,入力!E25))</f>
        <v/>
      </c>
      <c r="D14" s="75" t="n"/>
      <c r="E14" s="27">
        <f>IF(入力!B25="","",IF(入力!G25="",IF(入力!T25=1,IF(入力!$P$4="各薬",入力!S25,""),入力!S25),入力!G25&amp;IF(入力!$P$4="各薬","（"&amp;入力!S25&amp;"）","")))</f>
        <v/>
      </c>
      <c r="F14" s="75" t="n"/>
    </row>
    <row r="15" ht="25.5" customHeight="1" s="32">
      <c r="A15" s="4">
        <f>IF(入力!B26="","（3）","（3）　"&amp;入力!B26&amp;IF(入力!J26="不可","【後発不可】",""))</f>
        <v/>
      </c>
      <c r="B15" s="13">
        <f>IF(入力!C26="","",入力!C26)</f>
        <v/>
      </c>
      <c r="C15" s="27">
        <f>IF(入力!D26="","",入力!D26&amp;"　"&amp;IF(ISNUMBER(入力!E26),"1回"&amp;入力!E26&amp;入力!F26,入力!E26))</f>
        <v/>
      </c>
      <c r="D15" s="75" t="n"/>
      <c r="E15" s="27">
        <f>IF(入力!B26="","",IF(入力!G26="",IF(入力!T26=1,IF(入力!$P$4="各薬",入力!S26,""),入力!S26),入力!G26&amp;IF(入力!$P$4="各薬","（"&amp;入力!S26&amp;"）","")))</f>
        <v/>
      </c>
      <c r="F15" s="75" t="n"/>
    </row>
    <row r="16" ht="25.5" customHeight="1" s="32">
      <c r="A16" s="4">
        <f>IF(入力!B27="","（4）","（4）　"&amp;入力!B27&amp;IF(入力!J27="不可","【後発不可】",""))</f>
        <v/>
      </c>
      <c r="B16" s="13">
        <f>IF(入力!C27="","",入力!C27)</f>
        <v/>
      </c>
      <c r="C16" s="27">
        <f>IF(入力!D27="","",入力!D27&amp;"　"&amp;IF(ISNUMBER(入力!E27),"1回"&amp;入力!E27&amp;入力!F27,入力!E27))</f>
        <v/>
      </c>
      <c r="D16" s="75" t="n"/>
      <c r="E16" s="27">
        <f>IF(入力!B27="","",IF(入力!G27="",IF(入力!T27=1,IF(入力!$P$4="各薬",入力!S27,""),入力!S27),入力!G27&amp;IF(入力!$P$4="各薬","（"&amp;入力!S27&amp;"）","")))</f>
        <v/>
      </c>
      <c r="F16" s="75" t="n"/>
    </row>
    <row r="17" ht="25.5" customHeight="1" s="32">
      <c r="A17" s="4">
        <f>IF(入力!B28="","（5）","（5）　"&amp;入力!B28&amp;IF(入力!J28="不可","【後発不可】",""))</f>
        <v/>
      </c>
      <c r="B17" s="13">
        <f>IF(入力!C28="","",入力!C28)</f>
        <v/>
      </c>
      <c r="C17" s="27">
        <f>IF(入力!D28="","",入力!D28&amp;"　"&amp;IF(ISNUMBER(入力!E28),"1回"&amp;入力!E28&amp;入力!F28,入力!E28))</f>
        <v/>
      </c>
      <c r="D17" s="75" t="n"/>
      <c r="E17" s="27">
        <f>IF(入力!B28="","",IF(入力!G28="",IF(入力!T28=1,IF(入力!$P$4="各薬",入力!S28,""),入力!S28),入力!G28&amp;IF(入力!$P$4="各薬","（"&amp;入力!S28&amp;"）","")))</f>
        <v/>
      </c>
      <c r="F17" s="75" t="n"/>
    </row>
    <row r="18" ht="25.5" customHeight="1" s="32">
      <c r="A18" s="4">
        <f>IF(入力!B29="","（6）","（6）　"&amp;入力!B29&amp;IF(入力!J29="不可","【後発不可】",""))</f>
        <v/>
      </c>
      <c r="B18" s="13">
        <f>IF(入力!C29="","",入力!C29)</f>
        <v/>
      </c>
      <c r="C18" s="27">
        <f>IF(入力!D29="","",入力!D29&amp;"　"&amp;IF(ISNUMBER(入力!E29),"1回"&amp;入力!E29&amp;入力!F29,入力!E29))</f>
        <v/>
      </c>
      <c r="D18" s="75" t="n"/>
      <c r="E18" s="27">
        <f>IF(入力!B29="","",IF(入力!G29="",IF(入力!T29=1,IF(入力!$P$4="各薬",入力!S29,""),入力!S29),入力!G29&amp;IF(入力!$P$4="各薬","（"&amp;入力!S29&amp;"）","")))</f>
        <v/>
      </c>
      <c r="F18" s="75" t="n"/>
    </row>
    <row r="19" ht="25.5" customHeight="1" s="32">
      <c r="A19" s="4">
        <f>IF(入力!B30="","（7）","（7）　"&amp;入力!B30&amp;IF(入力!J30="不可","【後発不可】",""))</f>
        <v/>
      </c>
      <c r="B19" s="13">
        <f>IF(入力!C30="","",入力!C30)</f>
        <v/>
      </c>
      <c r="C19" s="27">
        <f>IF(入力!D30="","",入力!D30&amp;"　"&amp;IF(ISNUMBER(入力!E30),"1回"&amp;入力!E30&amp;入力!F30,入力!E30))</f>
        <v/>
      </c>
      <c r="D19" s="75" t="n"/>
      <c r="E19" s="27">
        <f>IF(入力!B30="","",IF(入力!G30="",IF(入力!T30=1,IF(入力!$P$4="各薬",入力!S30,""),入力!S30),入力!G30&amp;IF(入力!$P$4="各薬","（"&amp;入力!S30&amp;"）","")))</f>
        <v/>
      </c>
      <c r="F19" s="75" t="n"/>
    </row>
    <row r="20" ht="25.5" customHeight="1" s="32">
      <c r="A20" s="4">
        <f>IF(入力!B31="","（8）","（8）　"&amp;入力!B31&amp;IF(入力!J31="不可","【後発不可】",""))</f>
        <v/>
      </c>
      <c r="B20" s="13">
        <f>IF(入力!C31="","",入力!C31)</f>
        <v/>
      </c>
      <c r="C20" s="27">
        <f>IF(入力!D31="","",入力!D31&amp;"　"&amp;IF(ISNUMBER(入力!E31),"1回"&amp;入力!E31&amp;入力!F31,入力!E31))</f>
        <v/>
      </c>
      <c r="D20" s="75" t="n"/>
      <c r="E20" s="27">
        <f>IF(入力!B31="","",IF(入力!G31="",IF(入力!T31=1,IF(入力!$P$4="各薬",入力!S31,""),入力!S31),入力!G31&amp;IF(入力!$P$4="各薬","（"&amp;入力!S31&amp;"）","")))</f>
        <v/>
      </c>
      <c r="F20" s="75" t="n"/>
    </row>
    <row r="21" ht="25.5" customHeight="1" s="32">
      <c r="A21" s="4">
        <f>IF(入力!B32="","（9）","（9）　"&amp;入力!B32&amp;IF(入力!J32="不可","【後発不可】",""))</f>
        <v/>
      </c>
      <c r="B21" s="13">
        <f>IF(入力!C32="","",入力!C32)</f>
        <v/>
      </c>
      <c r="C21" s="27">
        <f>IF(入力!D32="","",入力!D32&amp;"　"&amp;IF(ISNUMBER(入力!E32),"1回"&amp;入力!E32&amp;入力!F32,入力!E32))</f>
        <v/>
      </c>
      <c r="D21" s="75" t="n"/>
      <c r="E21" s="27">
        <f>IF(入力!B32="","",IF(入力!G32="",IF(入力!T32=1,IF(入力!$P$4="各薬",入力!S32,""),入力!S32),入力!G32&amp;IF(入力!$P$4="各薬","（"&amp;入力!S32&amp;"）","")))</f>
        <v/>
      </c>
      <c r="F21" s="75" t="n"/>
    </row>
    <row r="22" ht="25.5" customHeight="1" s="32">
      <c r="A22" s="4">
        <f>IF(入力!B33="","（10）","（10）　"&amp;入力!B33&amp;IF(入力!J33="不可","【後発不可】",""))</f>
        <v/>
      </c>
      <c r="B22" s="13">
        <f>IF(入力!C33="","",入力!C33)</f>
        <v/>
      </c>
      <c r="C22" s="27">
        <f>IF(入力!D33="","",入力!D33&amp;"　"&amp;IF(ISNUMBER(入力!E33),"1回"&amp;入力!E33&amp;入力!F33,入力!E33))</f>
        <v/>
      </c>
      <c r="D22" s="75" t="n"/>
      <c r="E22" s="27">
        <f>IF(入力!B33="","",IF(入力!G33="",IF(入力!T33=1,IF(入力!$P$4="各薬",入力!S33,""),入力!S33),入力!G33&amp;IF(入力!$P$4="各薬","（"&amp;入力!S33&amp;"）","")))</f>
        <v/>
      </c>
      <c r="F22" s="75" t="n"/>
    </row>
    <row r="23" ht="15" customHeight="1" s="32">
      <c r="A23" s="28">
        <f>IF(入力!P4="","　　　日分",IF(入力!P4="各薬","日数は薬品ごとに記載",入力!P4&amp;"　日分"))</f>
        <v/>
      </c>
      <c r="E23" s="37">
        <f>IF(COUNTIF(入力!J24:J33,"不可")&gt;0,"☑ 後発医薬品への変更不可："&amp;IF(入力!J24="不可","（1）","")&amp;IF(入力!J25="不可","（2）","")&amp;IF(入力!J26="不可","（3）","")&amp;IF(入力!J27="不可","（4）","")&amp;IF(入力!J28="不可","（5）","")&amp;IF(入力!J29="不可","（6）","")&amp;IF(入力!J30="不可","（7）","")&amp;IF(入力!J31="不可","（8）","")&amp;IF(入力!J32="不可","（9）","")&amp;IF(入力!J33="不可","（10）",""),"□ 後発医薬品への変更不可")</f>
        <v/>
      </c>
    </row>
    <row r="24" ht="6" customHeight="1" s="32"/>
    <row r="25" ht="15" customHeight="1" s="32">
      <c r="A25" s="21" t="inlineStr">
        <is>
          <t>【注意事項　患者・医師共通】　※必読※</t>
        </is>
      </c>
    </row>
    <row r="26" ht="15.75" customHeight="1" s="32">
      <c r="A26" s="29" t="inlineStr">
        <is>
          <t>１．「診断書」を基に発給すること（指示書には病名を書かない）。</t>
        </is>
      </c>
    </row>
    <row r="27" ht="15.75" customHeight="1" s="32">
      <c r="A27" s="29" t="inlineStr">
        <is>
          <t>２．購送できる医薬品は、錠剤、顆粒、粉末、貼り薬（湿布薬）、喘息用吸入薬（ガス不使用のものに限る）に限る。</t>
        </is>
      </c>
    </row>
    <row r="28" ht="15.75" customHeight="1" s="32">
      <c r="A28" s="29" t="inlineStr">
        <is>
          <t>３．液体、軟膏、スプレー式、坐薬、冷所品等は購送不可（吸入薬はガス不使用のものに限り購送可）。</t>
        </is>
      </c>
    </row>
    <row r="29" ht="15.75" customHeight="1" s="32">
      <c r="A29" s="29" t="inlineStr">
        <is>
          <t>４．必ず署名押印をすること。</t>
        </is>
      </c>
    </row>
    <row r="30" ht="15.75" customHeight="1" s="32">
      <c r="A30" s="29" t="inlineStr">
        <is>
          <t>５．本「指示書」の有効期限は３ヶ月で、使用回数は１回限り。</t>
        </is>
      </c>
    </row>
    <row r="31" ht="15.75" customHeight="1" s="32">
      <c r="A31" s="29" t="inlineStr">
        <is>
          <t>６．向精神薬・睡眠薬は３０日、新薬は１４日の処方日数制限がある。</t>
        </is>
      </c>
    </row>
    <row r="32" ht="15.75" customHeight="1" s="32">
      <c r="A32" s="29" t="inlineStr">
        <is>
          <t>７．後発医薬品への変更の差し支えがあると判断した場合には、「後発医薬品への変更不可」に「☑」を記載すること。</t>
        </is>
      </c>
    </row>
    <row r="33" ht="27.75" customHeight="1" s="32">
      <c r="A33" s="29" t="inlineStr">
        <is>
          <t>８．申込者は申し込み前に必ずオープンシェア福利厚生室HP個人用医薬品利用案内を読み、診断書指示書の内容を自身で確認・理解のうえ申込者自身の手によって９．のとおり手続きを行うこと。</t>
        </is>
      </c>
    </row>
    <row r="34" ht="27.75" customHeight="1" s="32">
      <c r="A34" s="29" t="inlineStr">
        <is>
          <t>９．個人用医薬品購送申込書（様式Ａ）に本指示書（様式Ｂ）の「写」及び診断書【指示書に病名記載がないため、病名と服用薬の整合性を確認する必要があることから、診断書が必要】を添付し、封入の上、共済公信にて購送依頼をすること（メールでの申請は一切不可）。</t>
        </is>
      </c>
    </row>
    <row r="35" ht="15.75" customHeight="1" s="32">
      <c r="A35" s="30" t="inlineStr">
        <is>
          <t>１０．本指示書原本は、在外療養費請求時に本省へ送付すること（それまでは申込者が保管）。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9">
    <mergeCell ref="D2:F2"/>
    <mergeCell ref="E12:F12"/>
    <mergeCell ref="A23:D23"/>
    <mergeCell ref="C8:F8"/>
    <mergeCell ref="C15:D15"/>
    <mergeCell ref="A27:F27"/>
    <mergeCell ref="C7:F7"/>
    <mergeCell ref="E23:F23"/>
    <mergeCell ref="C14:D14"/>
    <mergeCell ref="A3:C3"/>
    <mergeCell ref="E14:F14"/>
    <mergeCell ref="A26:F26"/>
    <mergeCell ref="E17:F17"/>
    <mergeCell ref="A6:B6"/>
    <mergeCell ref="A2:C2"/>
    <mergeCell ref="A33:F33"/>
    <mergeCell ref="C20:D20"/>
    <mergeCell ref="E20:F20"/>
    <mergeCell ref="C16:D16"/>
    <mergeCell ref="A7:B7"/>
    <mergeCell ref="A5:F5"/>
    <mergeCell ref="E19:F19"/>
    <mergeCell ref="A32:F32"/>
    <mergeCell ref="C6:F6"/>
    <mergeCell ref="D3:F3"/>
    <mergeCell ref="E13:F13"/>
    <mergeCell ref="A35:F35"/>
    <mergeCell ref="C22:D22"/>
    <mergeCell ref="A25:F25"/>
    <mergeCell ref="A29:F29"/>
    <mergeCell ref="C12:D12"/>
    <mergeCell ref="A10:F10"/>
    <mergeCell ref="A28:F28"/>
    <mergeCell ref="C21:D21"/>
    <mergeCell ref="E15:F15"/>
    <mergeCell ref="A31:F31"/>
    <mergeCell ref="A34:F34"/>
    <mergeCell ref="A30:F30"/>
    <mergeCell ref="C17:D17"/>
    <mergeCell ref="A8:B8"/>
    <mergeCell ref="A11:F11"/>
    <mergeCell ref="E16:F16"/>
    <mergeCell ref="A1:F1"/>
    <mergeCell ref="C19:D19"/>
    <mergeCell ref="E22:F22"/>
    <mergeCell ref="C13:D13"/>
    <mergeCell ref="C18:D18"/>
    <mergeCell ref="E18:F18"/>
    <mergeCell ref="E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1" sqref="A1"/>
    </sheetView>
  </sheetViews>
  <sheetFormatPr baseColWidth="8" defaultColWidth="8.73046875" defaultRowHeight="14.25"/>
  <cols>
    <col width="22" customWidth="1" style="32" min="1" max="1"/>
    <col width="78" customWidth="1" style="32" min="2" max="2"/>
  </cols>
  <sheetData>
    <row r="1" ht="15.75" customHeight="1" s="32">
      <c r="A1" s="5" t="inlineStr">
        <is>
          <t>入力ガイド（このシートは印刷不要）</t>
        </is>
      </c>
    </row>
    <row r="3" ht="15" customHeight="1" s="32">
      <c r="A3" s="6" t="inlineStr">
        <is>
          <t>項目</t>
        </is>
      </c>
      <c r="B3" s="6" t="inlineStr">
        <is>
          <t>説明</t>
        </is>
      </c>
    </row>
    <row r="4" ht="31.5" customHeight="1" s="32">
      <c r="A4" s="7" t="inlineStr">
        <is>
          <t>全体の仕組み</t>
        </is>
      </c>
      <c r="B4" s="7" t="inlineStr">
        <is>
          <t>「入力」シートに1回入力するだけで「診断書」「指示書」シートに自動反映されます。氏名・生年月日・薬品リストなどの記載ミス・不一致を防ぐため、2つの書類は入力シートを唯一の情報源としています。</t>
        </is>
      </c>
    </row>
    <row r="5" ht="31.5" customHeight="1" s="32">
      <c r="A5" s="7" t="inlineStr">
        <is>
          <t>黄色のセル（入力シート）</t>
        </is>
      </c>
      <c r="B5" s="7" t="inlineStr">
        <is>
          <t>記入・入力してください。薬品名・含有量・用法用量・数量・処方日数・病名はすべて自由入力です。剤形／後発医薬品不可／在外公館種別のみプルダウンから選択します。</t>
        </is>
      </c>
    </row>
    <row r="6" ht="31.5" customHeight="1" s="32">
      <c r="A6" s="7" t="inlineStr">
        <is>
          <t>病名（慢性疾患）</t>
        </is>
      </c>
      <c r="B6" s="7" t="inlineStr">
        <is>
          <t>薬品からの自動判定は行いません。診断書の「１．病名（慢性疾患）」欄に表示される内容を、この欄に直接入力してください（複数疾患は「、」区切りで入力）。</t>
        </is>
      </c>
    </row>
    <row r="7" ht="31.5" customHeight="1" s="32">
      <c r="A7" s="7" t="inlineStr">
        <is>
          <t>薬品名・含有量</t>
        </is>
      </c>
      <c r="B7" s="7" t="inlineStr">
        <is>
          <t>いずれもプルダウンなしの自由入力です。誤字脱字がないか入力後にご確認ください。</t>
        </is>
      </c>
    </row>
    <row r="8" ht="31.5" customHeight="1" s="32">
      <c r="A8" s="7" t="inlineStr">
        <is>
          <t>在外公館</t>
        </is>
      </c>
      <c r="B8" s="7" t="inlineStr">
        <is>
          <t>「患者所属」「医務官所属」それぞれの黄色いセル（在外公館コード）の▼をクリックすると、在外公館コード＋公館名の一覧表（プルダウン）が表示されるので、その中から該当する公館を選んでください。選択すると右側の「公館名」欄に名称が自動表示されます（コード表は「在外公館リスト」シートを参照、申込書と同じ一覧）。診断書の「所属」欄には患者所属の公館名、診断書・指示書の「在○○館」欄には医務官所属の公館名が反映されます。</t>
        </is>
      </c>
    </row>
    <row r="9" ht="31.5" customHeight="1" s="32">
      <c r="A9" s="7" t="inlineStr">
        <is>
          <t>生年月日／発行日</t>
        </is>
      </c>
      <c r="B9" s="7" t="inlineStr">
        <is>
          <t>年・月・日をそれぞれプルダウンから選択してください。生年月日は西暦、発行日は令和年で選びます（西暦への換算は自動計算されます）。</t>
        </is>
      </c>
    </row>
    <row r="10" ht="31.5" customHeight="1" s="32">
      <c r="A10" s="7" t="inlineStr">
        <is>
          <t>医務官／健康管理医氏名</t>
        </is>
      </c>
      <c r="B10" s="7" t="inlineStr">
        <is>
          <t>基本情報の一番下に配置しています。</t>
        </is>
      </c>
    </row>
    <row r="11" ht="31.5" customHeight="1" s="32">
      <c r="A11" s="7" t="inlineStr">
        <is>
          <t>用法・用量</t>
        </is>
      </c>
      <c r="B11" s="7" t="inlineStr">
        <is>
          <t>用法は一覧（「分2 朝夕食後」のように回数は「分n」）から選ぶか、直接入力します。一覧にない用法は「用法用量マスタ」シートのA列に追記すると選択肢が増えます。用量（1回量）に「朝2錠・夕1錠」などの文字を入れると、そのまま印刷されます（自由記載）。</t>
        </is>
      </c>
    </row>
    <row r="12" ht="31.5" customHeight="1" s="32">
      <c r="A12" s="7" t="inlineStr">
        <is>
          <t>服用薬（最大10件）</t>
        </is>
      </c>
      <c r="B12" s="7" t="inlineStr">
        <is>
          <t>薬品名・含有量・用量・日数は自由入力です。日数は薬ごとに入れます（頓服・週1回などは回数）。全部同じ日数なら指示書の下に「○日分」、違えば薬ごとに表示します。後発医薬品への変更不可はJ列で薬ごとに選びます。</t>
        </is>
      </c>
    </row>
    <row r="13" ht="31.5" customHeight="1" s="32">
      <c r="A13" s="7" t="inlineStr">
        <is>
          <t>■整合性チェック</t>
        </is>
      </c>
      <c r="B13" s="7" t="inlineStr">
        <is>
          <t>入力シート下部に自動チェック（①〜⑤）と総合判定が表示されます。赤色の項目があれば申込前に確認してください。</t>
        </is>
      </c>
    </row>
    <row r="14" ht="31.5" customHeight="1" s="32">
      <c r="A14" s="7" t="inlineStr">
        <is>
          <t>⑤ 剤形チェック</t>
        </is>
      </c>
      <c r="B14" s="7" t="inlineStr">
        <is>
          <t>購送不可（液体・軟膏・スプレー・冷所品・吸入薬）の薬を選ぶと自動で警告されます。</t>
        </is>
      </c>
    </row>
    <row r="15" ht="31.5" customHeight="1" s="32">
      <c r="A15" s="7" t="inlineStr">
        <is>
          <t>指示書に病名が出ない理由</t>
        </is>
      </c>
      <c r="B15" s="7" t="inlineStr">
        <is>
          <t>指示書の注意事項１にある通り、指示書には病名を書かない運用のため、指示書シートには病名を一切表示していません（診断書のみに表示）。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7"/>
  <sheetViews>
    <sheetView zoomScaleNormal="100" workbookViewId="0">
      <selection activeCell="A1" sqref="A1"/>
    </sheetView>
  </sheetViews>
  <sheetFormatPr baseColWidth="8" defaultColWidth="8.73046875" defaultRowHeight="14.25"/>
  <sheetData>
    <row r="1" ht="15" customHeight="1" s="32">
      <c r="A1" s="8" t="inlineStr">
        <is>
          <t>西暦年（生年月日用）</t>
        </is>
      </c>
      <c r="B1" s="8" t="inlineStr">
        <is>
          <t>令和年（発行日用）</t>
        </is>
      </c>
      <c r="C1" s="8" t="inlineStr">
        <is>
          <t>月</t>
        </is>
      </c>
      <c r="D1" s="8" t="inlineStr">
        <is>
          <t>日</t>
        </is>
      </c>
    </row>
    <row r="2" ht="15" customHeight="1" s="32">
      <c r="A2" t="n">
        <v>1920</v>
      </c>
      <c r="B2" t="n">
        <v>1</v>
      </c>
      <c r="C2" t="n">
        <v>1</v>
      </c>
      <c r="D2" t="n">
        <v>1</v>
      </c>
    </row>
    <row r="3" ht="15" customHeight="1" s="32">
      <c r="A3" t="n">
        <v>1921</v>
      </c>
      <c r="B3" t="n">
        <v>2</v>
      </c>
      <c r="C3" t="n">
        <v>2</v>
      </c>
      <c r="D3" t="n">
        <v>2</v>
      </c>
    </row>
    <row r="4" ht="15" customHeight="1" s="32">
      <c r="A4" t="n">
        <v>1922</v>
      </c>
      <c r="B4" t="n">
        <v>3</v>
      </c>
      <c r="C4" t="n">
        <v>3</v>
      </c>
      <c r="D4" t="n">
        <v>3</v>
      </c>
    </row>
    <row r="5" ht="15" customHeight="1" s="32">
      <c r="A5" t="n">
        <v>1923</v>
      </c>
      <c r="B5" t="n">
        <v>4</v>
      </c>
      <c r="C5" t="n">
        <v>4</v>
      </c>
      <c r="D5" t="n">
        <v>4</v>
      </c>
    </row>
    <row r="6" ht="15" customHeight="1" s="32">
      <c r="A6" t="n">
        <v>1924</v>
      </c>
      <c r="B6" t="n">
        <v>5</v>
      </c>
      <c r="C6" t="n">
        <v>5</v>
      </c>
      <c r="D6" t="n">
        <v>5</v>
      </c>
    </row>
    <row r="7" ht="15" customHeight="1" s="32">
      <c r="A7" t="n">
        <v>1925</v>
      </c>
      <c r="B7" t="n">
        <v>6</v>
      </c>
      <c r="C7" t="n">
        <v>6</v>
      </c>
      <c r="D7" t="n">
        <v>6</v>
      </c>
    </row>
    <row r="8" ht="15" customHeight="1" s="32">
      <c r="A8" t="n">
        <v>1926</v>
      </c>
      <c r="B8" t="n">
        <v>7</v>
      </c>
      <c r="C8" t="n">
        <v>7</v>
      </c>
      <c r="D8" t="n">
        <v>7</v>
      </c>
    </row>
    <row r="9" ht="15" customHeight="1" s="32">
      <c r="A9" t="n">
        <v>1927</v>
      </c>
      <c r="B9" t="n">
        <v>8</v>
      </c>
      <c r="C9" t="n">
        <v>8</v>
      </c>
      <c r="D9" t="n">
        <v>8</v>
      </c>
    </row>
    <row r="10" ht="15" customHeight="1" s="32">
      <c r="A10" t="n">
        <v>1928</v>
      </c>
      <c r="B10" t="n">
        <v>9</v>
      </c>
      <c r="C10" t="n">
        <v>9</v>
      </c>
      <c r="D10" t="n">
        <v>9</v>
      </c>
    </row>
    <row r="11" ht="15" customHeight="1" s="32">
      <c r="A11" t="n">
        <v>1929</v>
      </c>
      <c r="B11" t="n">
        <v>10</v>
      </c>
      <c r="C11" t="n">
        <v>10</v>
      </c>
      <c r="D11" t="n">
        <v>10</v>
      </c>
    </row>
    <row r="12" ht="15" customHeight="1" s="32">
      <c r="A12" t="n">
        <v>1930</v>
      </c>
      <c r="B12" t="n">
        <v>11</v>
      </c>
      <c r="C12" t="n">
        <v>11</v>
      </c>
      <c r="D12" t="n">
        <v>11</v>
      </c>
    </row>
    <row r="13" ht="15" customHeight="1" s="32">
      <c r="A13" t="n">
        <v>1931</v>
      </c>
      <c r="B13" t="n">
        <v>12</v>
      </c>
      <c r="C13" t="n">
        <v>12</v>
      </c>
      <c r="D13" t="n">
        <v>12</v>
      </c>
    </row>
    <row r="14" ht="15" customHeight="1" s="32">
      <c r="A14" t="n">
        <v>1932</v>
      </c>
      <c r="B14" t="n">
        <v>13</v>
      </c>
      <c r="D14" t="n">
        <v>13</v>
      </c>
    </row>
    <row r="15" ht="15" customHeight="1" s="32">
      <c r="A15" t="n">
        <v>1933</v>
      </c>
      <c r="B15" t="n">
        <v>14</v>
      </c>
      <c r="D15" t="n">
        <v>14</v>
      </c>
    </row>
    <row r="16" ht="15" customHeight="1" s="32">
      <c r="A16" t="n">
        <v>1934</v>
      </c>
      <c r="B16" t="n">
        <v>15</v>
      </c>
      <c r="D16" t="n">
        <v>15</v>
      </c>
    </row>
    <row r="17" ht="15" customHeight="1" s="32">
      <c r="A17" t="n">
        <v>1935</v>
      </c>
      <c r="D17" t="n">
        <v>16</v>
      </c>
    </row>
    <row r="18" ht="15" customHeight="1" s="32">
      <c r="A18" t="n">
        <v>1936</v>
      </c>
      <c r="D18" t="n">
        <v>17</v>
      </c>
    </row>
    <row r="19" ht="15" customHeight="1" s="32">
      <c r="A19" t="n">
        <v>1937</v>
      </c>
      <c r="D19" t="n">
        <v>18</v>
      </c>
    </row>
    <row r="20" ht="15" customHeight="1" s="32">
      <c r="A20" t="n">
        <v>1938</v>
      </c>
      <c r="D20" t="n">
        <v>19</v>
      </c>
    </row>
    <row r="21" ht="15" customHeight="1" s="32">
      <c r="A21" t="n">
        <v>1939</v>
      </c>
      <c r="D21" t="n">
        <v>20</v>
      </c>
    </row>
    <row r="22" ht="15" customHeight="1" s="32">
      <c r="A22" t="n">
        <v>1940</v>
      </c>
      <c r="D22" t="n">
        <v>21</v>
      </c>
    </row>
    <row r="23" ht="15" customHeight="1" s="32">
      <c r="A23" t="n">
        <v>1941</v>
      </c>
      <c r="D23" t="n">
        <v>22</v>
      </c>
    </row>
    <row r="24" ht="15" customHeight="1" s="32">
      <c r="A24" t="n">
        <v>1942</v>
      </c>
      <c r="D24" t="n">
        <v>23</v>
      </c>
    </row>
    <row r="25" ht="15" customHeight="1" s="32">
      <c r="A25" t="n">
        <v>1943</v>
      </c>
      <c r="D25" t="n">
        <v>24</v>
      </c>
    </row>
    <row r="26" ht="15" customHeight="1" s="32">
      <c r="A26" t="n">
        <v>1944</v>
      </c>
      <c r="D26" t="n">
        <v>25</v>
      </c>
    </row>
    <row r="27" ht="15" customHeight="1" s="32">
      <c r="A27" t="n">
        <v>1945</v>
      </c>
      <c r="D27" t="n">
        <v>26</v>
      </c>
    </row>
    <row r="28" ht="15" customHeight="1" s="32">
      <c r="A28" t="n">
        <v>1946</v>
      </c>
      <c r="D28" t="n">
        <v>27</v>
      </c>
    </row>
    <row r="29" ht="15" customHeight="1" s="32">
      <c r="A29" t="n">
        <v>1947</v>
      </c>
      <c r="D29" t="n">
        <v>28</v>
      </c>
    </row>
    <row r="30" ht="15" customHeight="1" s="32">
      <c r="A30" t="n">
        <v>1948</v>
      </c>
      <c r="D30" t="n">
        <v>29</v>
      </c>
    </row>
    <row r="31" ht="15" customHeight="1" s="32">
      <c r="A31" t="n">
        <v>1949</v>
      </c>
      <c r="D31" t="n">
        <v>30</v>
      </c>
    </row>
    <row r="32" ht="15" customHeight="1" s="32">
      <c r="A32" t="n">
        <v>1950</v>
      </c>
      <c r="D32" t="n">
        <v>31</v>
      </c>
    </row>
    <row r="33" ht="15" customHeight="1" s="32">
      <c r="A33" t="n">
        <v>1951</v>
      </c>
    </row>
    <row r="34" ht="15" customHeight="1" s="32">
      <c r="A34" t="n">
        <v>1952</v>
      </c>
    </row>
    <row r="35" ht="15" customHeight="1" s="32">
      <c r="A35" t="n">
        <v>1953</v>
      </c>
    </row>
    <row r="36" ht="15" customHeight="1" s="32">
      <c r="A36" t="n">
        <v>1954</v>
      </c>
    </row>
    <row r="37" ht="15" customHeight="1" s="32">
      <c r="A37" t="n">
        <v>1955</v>
      </c>
    </row>
    <row r="38" ht="15" customHeight="1" s="32">
      <c r="A38" t="n">
        <v>1956</v>
      </c>
    </row>
    <row r="39" ht="15" customHeight="1" s="32">
      <c r="A39" t="n">
        <v>1957</v>
      </c>
    </row>
    <row r="40" ht="15" customHeight="1" s="32">
      <c r="A40" t="n">
        <v>1958</v>
      </c>
    </row>
    <row r="41" ht="15" customHeight="1" s="32">
      <c r="A41" t="n">
        <v>1959</v>
      </c>
    </row>
    <row r="42" ht="15" customHeight="1" s="32">
      <c r="A42" t="n">
        <v>1960</v>
      </c>
    </row>
    <row r="43" ht="15" customHeight="1" s="32">
      <c r="A43" t="n">
        <v>1961</v>
      </c>
    </row>
    <row r="44" ht="15" customHeight="1" s="32">
      <c r="A44" t="n">
        <v>1962</v>
      </c>
    </row>
    <row r="45" ht="15" customHeight="1" s="32">
      <c r="A45" t="n">
        <v>1963</v>
      </c>
    </row>
    <row r="46" ht="15" customHeight="1" s="32">
      <c r="A46" t="n">
        <v>1964</v>
      </c>
    </row>
    <row r="47" ht="15" customHeight="1" s="32">
      <c r="A47" t="n">
        <v>1965</v>
      </c>
    </row>
    <row r="48" ht="15" customHeight="1" s="32">
      <c r="A48" t="n">
        <v>1966</v>
      </c>
    </row>
    <row r="49" ht="15" customHeight="1" s="32">
      <c r="A49" t="n">
        <v>1967</v>
      </c>
    </row>
    <row r="50" ht="15" customHeight="1" s="32">
      <c r="A50" t="n">
        <v>1968</v>
      </c>
    </row>
    <row r="51" ht="15" customHeight="1" s="32">
      <c r="A51" t="n">
        <v>1969</v>
      </c>
    </row>
    <row r="52" ht="15" customHeight="1" s="32">
      <c r="A52" t="n">
        <v>1970</v>
      </c>
    </row>
    <row r="53" ht="15" customHeight="1" s="32">
      <c r="A53" t="n">
        <v>1971</v>
      </c>
    </row>
    <row r="54" ht="15" customHeight="1" s="32">
      <c r="A54" t="n">
        <v>1972</v>
      </c>
    </row>
    <row r="55" ht="15" customHeight="1" s="32">
      <c r="A55" t="n">
        <v>1973</v>
      </c>
    </row>
    <row r="56" ht="15" customHeight="1" s="32">
      <c r="A56" t="n">
        <v>1974</v>
      </c>
    </row>
    <row r="57" ht="15" customHeight="1" s="32">
      <c r="A57" t="n">
        <v>1975</v>
      </c>
    </row>
    <row r="58" ht="15" customHeight="1" s="32">
      <c r="A58" t="n">
        <v>1976</v>
      </c>
    </row>
    <row r="59" ht="15" customHeight="1" s="32">
      <c r="A59" t="n">
        <v>1977</v>
      </c>
    </row>
    <row r="60" ht="15" customHeight="1" s="32">
      <c r="A60" t="n">
        <v>1978</v>
      </c>
    </row>
    <row r="61" ht="15" customHeight="1" s="32">
      <c r="A61" t="n">
        <v>1979</v>
      </c>
    </row>
    <row r="62" ht="15" customHeight="1" s="32">
      <c r="A62" t="n">
        <v>1980</v>
      </c>
    </row>
    <row r="63" ht="15" customHeight="1" s="32">
      <c r="A63" t="n">
        <v>1981</v>
      </c>
    </row>
    <row r="64" ht="15" customHeight="1" s="32">
      <c r="A64" t="n">
        <v>1982</v>
      </c>
    </row>
    <row r="65" ht="15" customHeight="1" s="32">
      <c r="A65" t="n">
        <v>1983</v>
      </c>
    </row>
    <row r="66" ht="15" customHeight="1" s="32">
      <c r="A66" t="n">
        <v>1984</v>
      </c>
    </row>
    <row r="67" ht="15" customHeight="1" s="32">
      <c r="A67" t="n">
        <v>1985</v>
      </c>
    </row>
    <row r="68" ht="15" customHeight="1" s="32">
      <c r="A68" t="n">
        <v>1986</v>
      </c>
    </row>
    <row r="69" ht="15" customHeight="1" s="32">
      <c r="A69" t="n">
        <v>1987</v>
      </c>
    </row>
    <row r="70" ht="15" customHeight="1" s="32">
      <c r="A70" t="n">
        <v>1988</v>
      </c>
    </row>
    <row r="71" ht="15" customHeight="1" s="32">
      <c r="A71" t="n">
        <v>1989</v>
      </c>
    </row>
    <row r="72" ht="15" customHeight="1" s="32">
      <c r="A72" t="n">
        <v>1990</v>
      </c>
    </row>
    <row r="73" ht="15" customHeight="1" s="32">
      <c r="A73" t="n">
        <v>1991</v>
      </c>
    </row>
    <row r="74" ht="15" customHeight="1" s="32">
      <c r="A74" t="n">
        <v>1992</v>
      </c>
    </row>
    <row r="75" ht="15" customHeight="1" s="32">
      <c r="A75" t="n">
        <v>1993</v>
      </c>
    </row>
    <row r="76" ht="15" customHeight="1" s="32">
      <c r="A76" t="n">
        <v>1994</v>
      </c>
    </row>
    <row r="77" ht="15" customHeight="1" s="32">
      <c r="A77" t="n">
        <v>1995</v>
      </c>
    </row>
    <row r="78" ht="15" customHeight="1" s="32">
      <c r="A78" t="n">
        <v>1996</v>
      </c>
    </row>
    <row r="79" ht="15" customHeight="1" s="32">
      <c r="A79" t="n">
        <v>1997</v>
      </c>
    </row>
    <row r="80" ht="15" customHeight="1" s="32">
      <c r="A80" t="n">
        <v>1998</v>
      </c>
    </row>
    <row r="81" ht="15" customHeight="1" s="32">
      <c r="A81" t="n">
        <v>1999</v>
      </c>
    </row>
    <row r="82" ht="15" customHeight="1" s="32">
      <c r="A82" t="n">
        <v>2000</v>
      </c>
    </row>
    <row r="83" ht="15" customHeight="1" s="32">
      <c r="A83" t="n">
        <v>2001</v>
      </c>
    </row>
    <row r="84" ht="15" customHeight="1" s="32">
      <c r="A84" t="n">
        <v>2002</v>
      </c>
    </row>
    <row r="85" ht="15" customHeight="1" s="32">
      <c r="A85" t="n">
        <v>2003</v>
      </c>
    </row>
    <row r="86" ht="15" customHeight="1" s="32">
      <c r="A86" t="n">
        <v>2004</v>
      </c>
    </row>
    <row r="87" ht="15" customHeight="1" s="32">
      <c r="A87" t="n">
        <v>2005</v>
      </c>
    </row>
    <row r="88" ht="15" customHeight="1" s="32">
      <c r="A88" t="n">
        <v>2006</v>
      </c>
    </row>
    <row r="89" ht="15" customHeight="1" s="32">
      <c r="A89" t="n">
        <v>2007</v>
      </c>
    </row>
    <row r="90" ht="15" customHeight="1" s="32">
      <c r="A90" t="n">
        <v>2008</v>
      </c>
    </row>
    <row r="91" ht="15" customHeight="1" s="32">
      <c r="A91" t="n">
        <v>2009</v>
      </c>
    </row>
    <row r="92" ht="15" customHeight="1" s="32">
      <c r="A92" t="n">
        <v>2010</v>
      </c>
    </row>
    <row r="93" ht="15" customHeight="1" s="32">
      <c r="A93" t="n">
        <v>2011</v>
      </c>
    </row>
    <row r="94" ht="15" customHeight="1" s="32">
      <c r="A94" t="n">
        <v>2012</v>
      </c>
    </row>
    <row r="95" ht="15" customHeight="1" s="32">
      <c r="A95" t="n">
        <v>2013</v>
      </c>
    </row>
    <row r="96" ht="15" customHeight="1" s="32">
      <c r="A96" t="n">
        <v>2014</v>
      </c>
    </row>
    <row r="97" ht="15" customHeight="1" s="32">
      <c r="A97" t="n">
        <v>2015</v>
      </c>
    </row>
    <row r="98" ht="15" customHeight="1" s="32">
      <c r="A98" t="n">
        <v>2016</v>
      </c>
    </row>
    <row r="99" ht="15" customHeight="1" s="32">
      <c r="A99" t="n">
        <v>2017</v>
      </c>
    </row>
    <row r="100" ht="15" customHeight="1" s="32">
      <c r="A100" t="n">
        <v>2018</v>
      </c>
    </row>
    <row r="101" ht="15" customHeight="1" s="32">
      <c r="A101" t="n">
        <v>2019</v>
      </c>
    </row>
    <row r="102" ht="15" customHeight="1" s="32">
      <c r="A102" t="n">
        <v>2020</v>
      </c>
    </row>
    <row r="103" ht="15" customHeight="1" s="32">
      <c r="A103" t="n">
        <v>2021</v>
      </c>
    </row>
    <row r="104" ht="15" customHeight="1" s="32">
      <c r="A104" t="n">
        <v>2022</v>
      </c>
    </row>
    <row r="105" ht="15" customHeight="1" s="32">
      <c r="A105" t="n">
        <v>2023</v>
      </c>
    </row>
    <row r="106" ht="15" customHeight="1" s="32">
      <c r="A106" t="n">
        <v>2024</v>
      </c>
    </row>
    <row r="107" ht="15" customHeight="1" s="32">
      <c r="A107" t="n">
        <v>2025</v>
      </c>
    </row>
    <row r="108" ht="15" customHeight="1" s="32">
      <c r="A108" t="n">
        <v>2026</v>
      </c>
    </row>
    <row r="109" ht="15" customHeight="1" s="32">
      <c r="A109" t="n">
        <v>2027</v>
      </c>
    </row>
    <row r="110" ht="15" customHeight="1" s="32">
      <c r="A110" t="n">
        <v>2028</v>
      </c>
    </row>
    <row r="111" ht="15" customHeight="1" s="32">
      <c r="A111" t="n">
        <v>2029</v>
      </c>
    </row>
    <row r="112" ht="15" customHeight="1" s="32">
      <c r="A112" t="n">
        <v>2030</v>
      </c>
    </row>
    <row r="113" ht="15" customHeight="1" s="32">
      <c r="A113" t="n">
        <v>2031</v>
      </c>
    </row>
    <row r="114" ht="15" customHeight="1" s="32">
      <c r="A114" t="n">
        <v>2032</v>
      </c>
    </row>
    <row r="115" ht="15" customHeight="1" s="32">
      <c r="A115" t="n">
        <v>2033</v>
      </c>
    </row>
    <row r="116" ht="15" customHeight="1" s="32">
      <c r="A116" t="n">
        <v>2034</v>
      </c>
    </row>
    <row r="117" ht="15" customHeight="1" s="32">
      <c r="A117" t="n">
        <v>2035</v>
      </c>
    </row>
    <row r="118" ht="15" customHeight="1" s="32">
      <c r="A118" t="n">
        <v>2036</v>
      </c>
    </row>
    <row r="119" ht="15" customHeight="1" s="32">
      <c r="A119" t="n">
        <v>2037</v>
      </c>
    </row>
    <row r="120" ht="15" customHeight="1" s="32">
      <c r="A120" t="n">
        <v>2038</v>
      </c>
    </row>
    <row r="121" ht="15" customHeight="1" s="32">
      <c r="A121" t="n">
        <v>2039</v>
      </c>
    </row>
    <row r="122" ht="15" customHeight="1" s="32">
      <c r="A122" t="n">
        <v>2040</v>
      </c>
    </row>
    <row r="123" ht="15" customHeight="1" s="32">
      <c r="A123" t="n">
        <v>2041</v>
      </c>
    </row>
    <row r="124" ht="15" customHeight="1" s="32">
      <c r="A124" t="n">
        <v>2042</v>
      </c>
    </row>
    <row r="125" ht="15" customHeight="1" s="32">
      <c r="A125" t="n">
        <v>2043</v>
      </c>
    </row>
    <row r="126" ht="15" customHeight="1" s="32">
      <c r="A126" t="n">
        <v>2044</v>
      </c>
    </row>
    <row r="127" ht="15" customHeight="1" s="32">
      <c r="A127" t="n">
        <v>2045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9"/>
  <sheetViews>
    <sheetView zoomScaleNormal="100" workbookViewId="0">
      <selection activeCell="A1" sqref="A1"/>
    </sheetView>
  </sheetViews>
  <sheetFormatPr baseColWidth="8" defaultColWidth="8.73046875" defaultRowHeight="14.25"/>
  <sheetData>
    <row r="1" ht="15" customHeight="1" s="32">
      <c r="A1" s="8" t="inlineStr">
        <is>
          <t>用法・用量（選択肢）</t>
        </is>
      </c>
    </row>
    <row r="2" ht="16.5" customHeight="1" s="32">
      <c r="A2" t="inlineStr">
        <is>
          <t>分1 朝食後</t>
        </is>
      </c>
    </row>
    <row r="3" ht="16.5" customHeight="1" s="32">
      <c r="A3" t="inlineStr">
        <is>
          <t>分1 昼食後</t>
        </is>
      </c>
    </row>
    <row r="4" ht="16.5" customHeight="1" s="32">
      <c r="A4" t="inlineStr">
        <is>
          <t>分1 夕食後</t>
        </is>
      </c>
    </row>
    <row r="5" ht="16.5" customHeight="1" s="32">
      <c r="A5" t="inlineStr">
        <is>
          <t>分1 朝食前</t>
        </is>
      </c>
    </row>
    <row r="6" ht="16.5" customHeight="1" s="32">
      <c r="A6" t="inlineStr">
        <is>
          <t>分1 夕食前</t>
        </is>
      </c>
    </row>
    <row r="7" ht="16.5" customHeight="1" s="32">
      <c r="A7" t="inlineStr">
        <is>
          <t>分1 起床時</t>
        </is>
      </c>
    </row>
    <row r="8" ht="16.5" customHeight="1" s="32">
      <c r="A8" t="inlineStr">
        <is>
          <t>分1 就寝前</t>
        </is>
      </c>
    </row>
    <row r="9" ht="16.5" customHeight="1" s="32">
      <c r="A9" t="inlineStr">
        <is>
          <t>分2 朝夕食後</t>
        </is>
      </c>
    </row>
    <row r="10" ht="16.5" customHeight="1" s="32">
      <c r="A10" t="inlineStr">
        <is>
          <t>分2 朝夕食前</t>
        </is>
      </c>
    </row>
    <row r="11" ht="16.5" customHeight="1" s="32">
      <c r="A11" t="inlineStr">
        <is>
          <t>分2 朝・昼食後</t>
        </is>
      </c>
    </row>
    <row r="12" ht="16.5" customHeight="1" s="32">
      <c r="A12" t="inlineStr">
        <is>
          <t>分2 朝夕食後（12時間毎）</t>
        </is>
      </c>
    </row>
    <row r="13" ht="16.5" customHeight="1" s="32">
      <c r="A13" t="inlineStr">
        <is>
          <t>分3 毎食後</t>
        </is>
      </c>
    </row>
    <row r="14" ht="16.5" customHeight="1" s="32">
      <c r="A14" t="inlineStr">
        <is>
          <t>分3 毎食前</t>
        </is>
      </c>
    </row>
    <row r="15" ht="16.5" customHeight="1" s="32">
      <c r="A15" t="inlineStr">
        <is>
          <t>分3 毎食間</t>
        </is>
      </c>
    </row>
    <row r="16" ht="16.5" customHeight="1" s="32">
      <c r="A16" t="inlineStr">
        <is>
          <t>分4 6時間毎</t>
        </is>
      </c>
    </row>
    <row r="17" ht="16.5" customHeight="1" s="32">
      <c r="A17" t="inlineStr">
        <is>
          <t>分4 毎食後・就寝前</t>
        </is>
      </c>
    </row>
    <row r="18" ht="16.5" customHeight="1" s="32">
      <c r="A18" t="inlineStr">
        <is>
          <t>頓服（症状出現時）</t>
        </is>
      </c>
    </row>
    <row r="19" ht="15" customHeight="1" s="32">
      <c r="A19" s="8" t="inlineStr">
        <is>
          <t>頓服（疼痛時）</t>
        </is>
      </c>
    </row>
    <row r="20" ht="15" customHeight="1" s="32">
      <c r="A20" s="8" t="inlineStr">
        <is>
          <t>頓服（不眠時）</t>
        </is>
      </c>
    </row>
    <row r="21" ht="15" customHeight="1" s="32">
      <c r="A21" s="8" t="inlineStr">
        <is>
          <t>週1回</t>
        </is>
      </c>
    </row>
    <row r="22" ht="16.5" customHeight="1" s="32">
      <c r="A22" s="8" t="inlineStr">
        <is>
          <t>週2回</t>
        </is>
      </c>
    </row>
    <row r="23" ht="16.5" customHeight="1" s="32">
      <c r="A23" s="8" t="inlineStr">
        <is>
          <t>2週に1回</t>
        </is>
      </c>
    </row>
    <row r="24" ht="16.5" customHeight="1" s="32">
      <c r="A24" t="inlineStr">
        <is>
          <t>1ヶ月に1回</t>
        </is>
      </c>
    </row>
    <row r="25" ht="16.5" customHeight="1" s="32">
      <c r="A25" t="inlineStr">
        <is>
          <t>隔日1回</t>
        </is>
      </c>
    </row>
    <row r="26" ht="16.5" customHeight="1" s="32">
      <c r="A26" s="8" t="inlineStr">
        <is>
          <t>透析後</t>
        </is>
      </c>
    </row>
    <row r="27" ht="16.5" customHeight="1" s="32"/>
    <row r="28" ht="15" customHeight="1" s="32">
      <c r="A28" s="8" t="n"/>
    </row>
    <row r="29" ht="16.5" customHeight="1" s="32">
      <c r="A29" s="8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C265"/>
  <sheetViews>
    <sheetView showGridLines="0" topLeftCell="A80" zoomScaleNormal="100" workbookViewId="0">
      <selection activeCell="A1" sqref="A1"/>
    </sheetView>
  </sheetViews>
  <sheetFormatPr baseColWidth="8" defaultColWidth="8.6640625" defaultRowHeight="14.25"/>
  <cols>
    <col width="14" customWidth="1" style="32" min="1" max="1"/>
    <col width="30" customWidth="1" style="32" min="2" max="2"/>
    <col width="34" customWidth="1" style="32" min="3" max="3"/>
  </cols>
  <sheetData>
    <row r="2" ht="15" customHeight="1" s="32">
      <c r="A2" s="36" t="inlineStr">
        <is>
          <t>在外公館コード</t>
        </is>
      </c>
      <c r="B2" s="36" t="inlineStr">
        <is>
          <t>在外公館名</t>
        </is>
      </c>
      <c r="C2" s="36" t="inlineStr">
        <is>
          <t>選択用（コード＋公館名）</t>
        </is>
      </c>
    </row>
    <row r="4" ht="15" customHeight="1" s="32">
      <c r="A4" t="inlineStr">
        <is>
          <t>607C</t>
        </is>
      </c>
      <c r="B4" s="8" t="inlineStr">
        <is>
          <t>東南アジア諸国連合日本政府代表部</t>
        </is>
      </c>
      <c r="C4" s="9">
        <f>A4&amp;"　"&amp;B4</f>
        <v/>
      </c>
    </row>
    <row r="5" ht="15" customHeight="1" s="32">
      <c r="A5" t="inlineStr">
        <is>
          <t>301C</t>
        </is>
      </c>
      <c r="B5" s="8" t="inlineStr">
        <is>
          <t>国際連合日本政府代表部</t>
        </is>
      </c>
      <c r="C5" s="9">
        <f>A5&amp;"　"&amp;B5</f>
        <v/>
      </c>
    </row>
    <row r="6" ht="15" customHeight="1" s="32">
      <c r="A6" t="inlineStr">
        <is>
          <t>302C</t>
        </is>
      </c>
      <c r="B6" s="8" t="inlineStr">
        <is>
          <t>国際民間航空機関日本政府代表部</t>
        </is>
      </c>
      <c r="C6" s="9">
        <f>A6&amp;"　"&amp;B6</f>
        <v/>
      </c>
    </row>
    <row r="7" ht="15" customHeight="1" s="32">
      <c r="A7" t="inlineStr">
        <is>
          <t>501C</t>
        </is>
      </c>
      <c r="B7" s="8" t="inlineStr">
        <is>
          <t>在ウィーン国際機関日本政府代表部</t>
        </is>
      </c>
      <c r="C7" s="9">
        <f>A7&amp;"　"&amp;B7</f>
        <v/>
      </c>
    </row>
    <row r="8" ht="15" customHeight="1" s="32">
      <c r="A8" t="inlineStr">
        <is>
          <t>516C</t>
        </is>
      </c>
      <c r="B8" s="8" t="inlineStr">
        <is>
          <t>在ジュネーブ国際機関日本政府代表部</t>
        </is>
      </c>
      <c r="C8" s="9">
        <f>A8&amp;"　"&amp;B8</f>
        <v/>
      </c>
    </row>
    <row r="9" ht="15" customHeight="1" s="32">
      <c r="A9" t="inlineStr">
        <is>
          <t>590C</t>
        </is>
      </c>
      <c r="B9" s="8" t="inlineStr">
        <is>
          <t>軍縮会議日本政府代表部</t>
        </is>
      </c>
      <c r="C9" s="9">
        <f>A9&amp;"　"&amp;B9</f>
        <v/>
      </c>
    </row>
    <row r="10" ht="15" customHeight="1" s="32">
      <c r="A10" t="inlineStr">
        <is>
          <t>505C</t>
        </is>
      </c>
      <c r="B10" s="8" t="inlineStr">
        <is>
          <t>経済協力開発機構日本政府代表部</t>
        </is>
      </c>
      <c r="C10" s="9">
        <f>A10&amp;"　"&amp;B10</f>
        <v/>
      </c>
    </row>
    <row r="11" ht="15" customHeight="1" s="32">
      <c r="A11" t="inlineStr">
        <is>
          <t>521C</t>
        </is>
      </c>
      <c r="B11" s="8" t="inlineStr">
        <is>
          <t>欧州連合日本政府代表部</t>
        </is>
      </c>
      <c r="C11" s="9">
        <f>A11&amp;"　"&amp;B11</f>
        <v/>
      </c>
    </row>
    <row r="12" ht="15" customHeight="1" s="32">
      <c r="A12" t="inlineStr">
        <is>
          <t>521Z</t>
        </is>
      </c>
      <c r="B12" s="8" t="inlineStr">
        <is>
          <t>北大西洋条約機構日本政府代表部</t>
        </is>
      </c>
      <c r="C12" s="9">
        <f>A12&amp;"　"&amp;B12</f>
        <v/>
      </c>
    </row>
    <row r="13" ht="15" customHeight="1" s="32">
      <c r="A13" t="inlineStr">
        <is>
          <t>505Z</t>
        </is>
      </c>
      <c r="B13" s="8" t="inlineStr">
        <is>
          <t>国際連合教育科学文化機関日本政府代表部</t>
        </is>
      </c>
      <c r="C13" s="9">
        <f>A13&amp;"　"&amp;B13</f>
        <v/>
      </c>
    </row>
    <row r="14" ht="15" customHeight="1" s="32">
      <c r="A14" t="inlineStr">
        <is>
          <t>606A</t>
        </is>
      </c>
      <c r="B14" s="8" t="inlineStr">
        <is>
          <t>在インド大使館</t>
        </is>
      </c>
      <c r="C14" s="9">
        <f>A14&amp;"　"&amp;B14</f>
        <v/>
      </c>
    </row>
    <row r="15" ht="15" customHeight="1" s="32">
      <c r="A15" t="inlineStr">
        <is>
          <t>606V</t>
        </is>
      </c>
      <c r="B15" s="8" t="inlineStr">
        <is>
          <t>在ベンガルール領事事務所</t>
        </is>
      </c>
      <c r="C15" s="9">
        <f>A15&amp;"　"&amp;B15</f>
        <v/>
      </c>
    </row>
    <row r="16" ht="15" customHeight="1" s="32">
      <c r="A16" t="inlineStr">
        <is>
          <t>606E</t>
        </is>
      </c>
      <c r="B16" s="8" t="inlineStr">
        <is>
          <t>在コルカタ総領事館</t>
        </is>
      </c>
      <c r="C16" s="9">
        <f>A16&amp;"　"&amp;B16</f>
        <v/>
      </c>
    </row>
    <row r="17" ht="15" customHeight="1" s="32">
      <c r="A17" t="inlineStr">
        <is>
          <t>606T</t>
        </is>
      </c>
      <c r="B17" s="8" t="inlineStr">
        <is>
          <t>在チェンナイ総領事館</t>
        </is>
      </c>
      <c r="C17" s="9">
        <f>A17&amp;"　"&amp;B17</f>
        <v/>
      </c>
    </row>
    <row r="18" ht="15" customHeight="1" s="32">
      <c r="A18" t="inlineStr">
        <is>
          <t>606D</t>
        </is>
      </c>
      <c r="B18" s="8" t="inlineStr">
        <is>
          <t>在ムンバイ総領事館</t>
        </is>
      </c>
      <c r="C18" s="9">
        <f>A18&amp;"　"&amp;B18</f>
        <v/>
      </c>
    </row>
    <row r="19" ht="15" customHeight="1" s="32">
      <c r="A19" t="inlineStr">
        <is>
          <t>607A</t>
        </is>
      </c>
      <c r="B19" s="8" t="inlineStr">
        <is>
          <t>在インドネシア大使館</t>
        </is>
      </c>
      <c r="C19" s="9">
        <f>A19&amp;"　"&amp;B19</f>
        <v/>
      </c>
    </row>
    <row r="20" ht="15" customHeight="1" s="32">
      <c r="A20" t="inlineStr">
        <is>
          <t>607X</t>
        </is>
      </c>
      <c r="B20" s="8" t="inlineStr">
        <is>
          <t>在マカッサル領事事務所</t>
        </is>
      </c>
      <c r="C20" s="9">
        <f>A20&amp;"　"&amp;B20</f>
        <v/>
      </c>
    </row>
    <row r="21" ht="15" customHeight="1" s="32">
      <c r="A21" t="inlineStr">
        <is>
          <t>607U</t>
        </is>
      </c>
      <c r="B21" s="8" t="inlineStr">
        <is>
          <t>在スラバヤ総領事館</t>
        </is>
      </c>
      <c r="C21" s="9">
        <f>A21&amp;"　"&amp;B21</f>
        <v/>
      </c>
    </row>
    <row r="22" ht="15" customHeight="1" s="32">
      <c r="A22" t="inlineStr">
        <is>
          <t>607F</t>
        </is>
      </c>
      <c r="B22" s="8" t="inlineStr">
        <is>
          <t>在デンパサール総領事館</t>
        </is>
      </c>
      <c r="C22" s="9">
        <f>A22&amp;"　"&amp;B22</f>
        <v/>
      </c>
    </row>
    <row r="23" ht="15" customHeight="1" s="32">
      <c r="A23" t="inlineStr">
        <is>
          <t>607T</t>
        </is>
      </c>
      <c r="B23" s="8" t="inlineStr">
        <is>
          <t>在メダン総領事館</t>
        </is>
      </c>
      <c r="C23" s="9">
        <f>A23&amp;"　"&amp;B23</f>
        <v/>
      </c>
    </row>
    <row r="24" ht="15" customHeight="1" s="32">
      <c r="A24" t="inlineStr">
        <is>
          <t>602A</t>
        </is>
      </c>
      <c r="B24" s="8" t="inlineStr">
        <is>
          <t>在カンボジア大使館</t>
        </is>
      </c>
      <c r="C24" s="9">
        <f>A24&amp;"　"&amp;B24</f>
        <v/>
      </c>
    </row>
    <row r="25" ht="15" customHeight="1" s="32">
      <c r="A25" t="inlineStr">
        <is>
          <t>602W</t>
        </is>
      </c>
      <c r="B25" s="8" t="inlineStr">
        <is>
          <t>在シェムリアップ領事事務所</t>
        </is>
      </c>
      <c r="C25" s="9">
        <f>A25&amp;"　"&amp;B25</f>
        <v/>
      </c>
    </row>
    <row r="26" ht="15" customHeight="1" s="32">
      <c r="A26" t="inlineStr">
        <is>
          <t>609D</t>
        </is>
      </c>
      <c r="B26" s="8" t="inlineStr">
        <is>
          <t>在シンガポール大使館</t>
        </is>
      </c>
      <c r="C26" s="9">
        <f>A26&amp;"　"&amp;B26</f>
        <v/>
      </c>
    </row>
    <row r="27" ht="15" customHeight="1" s="32">
      <c r="A27" t="inlineStr">
        <is>
          <t>603A</t>
        </is>
      </c>
      <c r="B27" s="8" t="inlineStr">
        <is>
          <t>在スリランカ大使館</t>
        </is>
      </c>
      <c r="C27" s="9">
        <f>A27&amp;"　"&amp;B27</f>
        <v/>
      </c>
    </row>
    <row r="28" ht="15" customHeight="1" s="32">
      <c r="A28" t="inlineStr">
        <is>
          <t>612A</t>
        </is>
      </c>
      <c r="B28" s="8" t="inlineStr">
        <is>
          <t>在タイ大使館</t>
        </is>
      </c>
      <c r="C28" s="9">
        <f>A28&amp;"　"&amp;B28</f>
        <v/>
      </c>
    </row>
    <row r="29" ht="15" customHeight="1" s="32">
      <c r="A29" t="inlineStr">
        <is>
          <t>612E</t>
        </is>
      </c>
      <c r="B29" s="8" t="inlineStr">
        <is>
          <t>在チェンマイ総領事館</t>
        </is>
      </c>
      <c r="C29" s="9">
        <f>A29&amp;"　"&amp;B29</f>
        <v/>
      </c>
    </row>
    <row r="30" ht="15" customHeight="1" s="32">
      <c r="A30" t="inlineStr">
        <is>
          <t>616A</t>
        </is>
      </c>
      <c r="B30" s="8" t="inlineStr">
        <is>
          <t>在大韓民国大使館</t>
        </is>
      </c>
      <c r="C30" s="9">
        <f>A30&amp;"　"&amp;B30</f>
        <v/>
      </c>
    </row>
    <row r="31" ht="15" customHeight="1" s="32">
      <c r="A31" t="inlineStr">
        <is>
          <t>616F</t>
        </is>
      </c>
      <c r="B31" s="8" t="inlineStr">
        <is>
          <t>在済州総領事館</t>
        </is>
      </c>
      <c r="C31" s="9">
        <f>A31&amp;"　"&amp;B31</f>
        <v/>
      </c>
    </row>
    <row r="32" ht="15" customHeight="1" s="32">
      <c r="A32" t="inlineStr">
        <is>
          <t>616D</t>
        </is>
      </c>
      <c r="B32" s="8" t="inlineStr">
        <is>
          <t>在釜山総領事館</t>
        </is>
      </c>
      <c r="C32" s="9">
        <f>A32&amp;"　"&amp;B32</f>
        <v/>
      </c>
    </row>
    <row r="33" ht="15" customHeight="1" s="32">
      <c r="A33" t="inlineStr">
        <is>
          <t>619A</t>
        </is>
      </c>
      <c r="B33" s="8" t="inlineStr">
        <is>
          <t>在中華人民共和国大使館</t>
        </is>
      </c>
      <c r="C33" s="9">
        <f>A33&amp;"　"&amp;B33</f>
        <v/>
      </c>
    </row>
    <row r="34" ht="15" customHeight="1" s="32">
      <c r="A34" t="inlineStr">
        <is>
          <t>619E</t>
        </is>
      </c>
      <c r="B34" s="8" t="inlineStr">
        <is>
          <t>在広州総領事館</t>
        </is>
      </c>
      <c r="C34" s="9">
        <f>A34&amp;"　"&amp;B34</f>
        <v/>
      </c>
    </row>
    <row r="35" ht="15" customHeight="1" s="32">
      <c r="A35" t="inlineStr">
        <is>
          <t>619D</t>
        </is>
      </c>
      <c r="B35" s="8" t="inlineStr">
        <is>
          <t>在上海総領事館</t>
        </is>
      </c>
      <c r="C35" s="9">
        <f>A35&amp;"　"&amp;B35</f>
        <v/>
      </c>
    </row>
    <row r="36" ht="15" customHeight="1" s="32">
      <c r="A36" t="inlineStr">
        <is>
          <t>619F</t>
        </is>
      </c>
      <c r="B36" s="8" t="inlineStr">
        <is>
          <t>在瀋陽総領事館</t>
        </is>
      </c>
      <c r="C36" s="9">
        <f>A36&amp;"　"&amp;B36</f>
        <v/>
      </c>
    </row>
    <row r="37" ht="15" customHeight="1" s="32">
      <c r="A37" t="inlineStr">
        <is>
          <t>619G</t>
        </is>
      </c>
      <c r="B37" s="8" t="inlineStr">
        <is>
          <t>在大連領事事務所</t>
        </is>
      </c>
      <c r="C37" s="9">
        <f>A37&amp;"　"&amp;B37</f>
        <v/>
      </c>
    </row>
    <row r="38" ht="15" customHeight="1" s="32">
      <c r="A38" t="inlineStr">
        <is>
          <t>619I</t>
        </is>
      </c>
      <c r="B38" s="8" t="inlineStr">
        <is>
          <t>在青島総領事館</t>
        </is>
      </c>
      <c r="C38" s="9">
        <f>A38&amp;"　"&amp;B38</f>
        <v/>
      </c>
    </row>
    <row r="39" ht="15" customHeight="1" s="32">
      <c r="A39" t="inlineStr">
        <is>
          <t>605D</t>
        </is>
      </c>
      <c r="B39" s="8" t="inlineStr">
        <is>
          <t>在香港総領事館</t>
        </is>
      </c>
      <c r="C39" s="9">
        <f>A39&amp;"　"&amp;B39</f>
        <v/>
      </c>
    </row>
    <row r="40" ht="15" customHeight="1" s="32">
      <c r="A40" t="inlineStr">
        <is>
          <t>619H</t>
        </is>
      </c>
      <c r="B40" s="8" t="inlineStr">
        <is>
          <t>在重慶総領事館</t>
        </is>
      </c>
      <c r="C40" s="9">
        <f>A40&amp;"　"&amp;B40</f>
        <v/>
      </c>
    </row>
    <row r="41" ht="15" customHeight="1" s="32">
      <c r="A41" t="inlineStr">
        <is>
          <t>617A</t>
        </is>
      </c>
      <c r="B41" s="8" t="inlineStr">
        <is>
          <t>在ネパール大使館</t>
        </is>
      </c>
      <c r="C41" s="9">
        <f>A41&amp;"　"&amp;B41</f>
        <v/>
      </c>
    </row>
    <row r="42" ht="15" customHeight="1" s="32">
      <c r="A42" t="inlineStr">
        <is>
          <t>610A</t>
        </is>
      </c>
      <c r="B42" s="8" t="inlineStr">
        <is>
          <t>在パキスタン大使館</t>
        </is>
      </c>
      <c r="C42" s="9">
        <f>A42&amp;"　"&amp;B42</f>
        <v/>
      </c>
    </row>
    <row r="43" ht="15" customHeight="1" s="32">
      <c r="A43" t="inlineStr">
        <is>
          <t>610E</t>
        </is>
      </c>
      <c r="B43" s="8" t="inlineStr">
        <is>
          <t>在カラチ総領事館</t>
        </is>
      </c>
      <c r="C43" s="9">
        <f>A43&amp;"　"&amp;B43</f>
        <v/>
      </c>
    </row>
    <row r="44" ht="15" customHeight="1" s="32">
      <c r="A44" t="inlineStr">
        <is>
          <t>610D</t>
        </is>
      </c>
      <c r="B44" s="8" t="inlineStr">
        <is>
          <t>在バングラデシュ大使館</t>
        </is>
      </c>
      <c r="C44" s="9">
        <f>A44&amp;"　"&amp;B44</f>
        <v/>
      </c>
    </row>
    <row r="45" ht="15" customHeight="1" s="32">
      <c r="A45" t="inlineStr">
        <is>
          <t>630A</t>
        </is>
      </c>
      <c r="B45" s="8" t="inlineStr">
        <is>
          <t>在東ティモール大使館</t>
        </is>
      </c>
      <c r="C45" s="9">
        <f>A45&amp;"　"&amp;B45</f>
        <v/>
      </c>
    </row>
    <row r="46" ht="15" customHeight="1" s="32">
      <c r="A46" t="inlineStr">
        <is>
          <t>611A</t>
        </is>
      </c>
      <c r="B46" s="8" t="inlineStr">
        <is>
          <t>在フィリピン大使館</t>
        </is>
      </c>
      <c r="C46" s="9">
        <f>A46&amp;"　"&amp;B46</f>
        <v/>
      </c>
    </row>
    <row r="47" ht="15" customHeight="1" s="32">
      <c r="A47" t="inlineStr">
        <is>
          <t>064D</t>
        </is>
      </c>
      <c r="B47" s="8" t="inlineStr">
        <is>
          <t>在セブ領事事務所</t>
        </is>
      </c>
      <c r="C47" s="9">
        <f>A47&amp;"　"&amp;B47</f>
        <v/>
      </c>
    </row>
    <row r="48" ht="15" customHeight="1" s="32">
      <c r="A48" t="inlineStr">
        <is>
          <t>064C</t>
        </is>
      </c>
      <c r="B48" s="8" t="inlineStr">
        <is>
          <t>在ダバオ領事事務所</t>
        </is>
      </c>
      <c r="C48" s="9">
        <f>A48&amp;"　"&amp;B48</f>
        <v/>
      </c>
    </row>
    <row r="49" ht="15" customHeight="1" s="32">
      <c r="A49" t="inlineStr">
        <is>
          <t>625A</t>
        </is>
      </c>
      <c r="B49" s="8" t="inlineStr">
        <is>
          <t>在ブルネイ大使館</t>
        </is>
      </c>
      <c r="C49" s="9">
        <f>A49&amp;"　"&amp;B49</f>
        <v/>
      </c>
    </row>
    <row r="50" ht="15" customHeight="1" s="32">
      <c r="A50" t="inlineStr">
        <is>
          <t>620A</t>
        </is>
      </c>
      <c r="B50" s="8" t="inlineStr">
        <is>
          <t>在ベトナム大使館</t>
        </is>
      </c>
      <c r="C50" s="9">
        <f>A50&amp;"　"&amp;B50</f>
        <v/>
      </c>
    </row>
    <row r="51" ht="15" customHeight="1" s="32">
      <c r="A51" t="inlineStr">
        <is>
          <t>620D</t>
        </is>
      </c>
      <c r="B51" s="8" t="inlineStr">
        <is>
          <t>在ホーチミン総領事館</t>
        </is>
      </c>
      <c r="C51" s="9">
        <f>A51&amp;"　"&amp;B51</f>
        <v/>
      </c>
    </row>
    <row r="52" ht="15" customHeight="1" s="32">
      <c r="A52" t="inlineStr">
        <is>
          <t>620W</t>
        </is>
      </c>
      <c r="B52" s="8" t="inlineStr">
        <is>
          <t>在ダナン領事事務所</t>
        </is>
      </c>
      <c r="C52" s="9">
        <f>A52&amp;"　"&amp;B52</f>
        <v/>
      </c>
    </row>
    <row r="53" ht="15" customHeight="1" s="32">
      <c r="A53" t="inlineStr">
        <is>
          <t>609A</t>
        </is>
      </c>
      <c r="B53" s="8" t="inlineStr">
        <is>
          <t>在マレーシア大使館</t>
        </is>
      </c>
      <c r="C53" s="9">
        <f>A53&amp;"　"&amp;B53</f>
        <v/>
      </c>
    </row>
    <row r="54" ht="15" customHeight="1" s="32">
      <c r="A54" t="inlineStr">
        <is>
          <t>609W</t>
        </is>
      </c>
      <c r="B54" s="8" t="inlineStr">
        <is>
          <t>在コタキナバル領事事務所</t>
        </is>
      </c>
      <c r="C54" s="9">
        <f>A54&amp;"　"&amp;B54</f>
        <v/>
      </c>
    </row>
    <row r="55" ht="15" customHeight="1" s="32">
      <c r="A55" t="inlineStr">
        <is>
          <t>609E</t>
        </is>
      </c>
      <c r="B55" s="8" t="inlineStr">
        <is>
          <t>在ペナン総領事館</t>
        </is>
      </c>
      <c r="C55" s="9">
        <f>A55&amp;"　"&amp;B55</f>
        <v/>
      </c>
    </row>
    <row r="56" ht="15" customHeight="1" s="32">
      <c r="A56" t="inlineStr">
        <is>
          <t>601A</t>
        </is>
      </c>
      <c r="B56" s="8" t="inlineStr">
        <is>
          <t>在ミャンマー大使館</t>
        </is>
      </c>
      <c r="C56" s="9">
        <f>A56&amp;"　"&amp;B56</f>
        <v/>
      </c>
    </row>
    <row r="57" ht="15" customHeight="1" s="32">
      <c r="A57" t="inlineStr">
        <is>
          <t>638A</t>
        </is>
      </c>
      <c r="B57" s="8" t="inlineStr">
        <is>
          <t>在モルディブ大使館</t>
        </is>
      </c>
      <c r="C57" s="9">
        <f>A57&amp;"　"&amp;B57</f>
        <v/>
      </c>
    </row>
    <row r="58" ht="15" customHeight="1" s="32">
      <c r="A58" t="inlineStr">
        <is>
          <t>618A</t>
        </is>
      </c>
      <c r="B58" s="8" t="inlineStr">
        <is>
          <t>在モンゴル大使館</t>
        </is>
      </c>
      <c r="C58" s="9">
        <f>A58&amp;"　"&amp;B58</f>
        <v/>
      </c>
    </row>
    <row r="59" ht="15" customHeight="1" s="32">
      <c r="A59" t="inlineStr">
        <is>
          <t>608A</t>
        </is>
      </c>
      <c r="B59" s="8" t="inlineStr">
        <is>
          <t>在ラオス大使館</t>
        </is>
      </c>
      <c r="C59" s="9">
        <f>A59&amp;"　"&amp;B59</f>
        <v/>
      </c>
    </row>
    <row r="60" ht="15" customHeight="1" s="32">
      <c r="A60" t="inlineStr">
        <is>
          <t>632A</t>
        </is>
      </c>
      <c r="B60" s="8" t="inlineStr">
        <is>
          <t>（台北事務所）</t>
        </is>
      </c>
      <c r="C60" s="9">
        <f>A60&amp;"　"&amp;B60</f>
        <v/>
      </c>
    </row>
    <row r="61" ht="15" customHeight="1" s="32">
      <c r="A61" t="inlineStr">
        <is>
          <t>632B</t>
        </is>
      </c>
      <c r="B61" s="8" t="inlineStr">
        <is>
          <t>（高雄事務所）</t>
        </is>
      </c>
      <c r="C61" s="9">
        <f>A61&amp;"　"&amp;B61</f>
        <v/>
      </c>
    </row>
    <row r="62" ht="15" customHeight="1" s="32">
      <c r="A62" t="inlineStr">
        <is>
          <t>614A</t>
        </is>
      </c>
      <c r="B62" s="8" t="inlineStr">
        <is>
          <t>在オーストラリア大使館</t>
        </is>
      </c>
      <c r="C62" s="9">
        <f>A62&amp;"　"&amp;B62</f>
        <v/>
      </c>
    </row>
    <row r="63" ht="15" customHeight="1" s="32">
      <c r="A63" t="inlineStr">
        <is>
          <t>614D</t>
        </is>
      </c>
      <c r="B63" s="8" t="inlineStr">
        <is>
          <t>在シドニー総領事館</t>
        </is>
      </c>
      <c r="C63" s="9">
        <f>A63&amp;"　"&amp;B63</f>
        <v/>
      </c>
    </row>
    <row r="64" ht="15" customHeight="1" s="32">
      <c r="A64" t="inlineStr">
        <is>
          <t>614F</t>
        </is>
      </c>
      <c r="B64" s="8" t="inlineStr">
        <is>
          <t>在パース総領事館</t>
        </is>
      </c>
      <c r="C64" s="9">
        <f>A64&amp;"　"&amp;B64</f>
        <v/>
      </c>
    </row>
    <row r="65" ht="15" customHeight="1" s="32">
      <c r="A65" t="inlineStr">
        <is>
          <t>614T</t>
        </is>
      </c>
      <c r="B65" s="8" t="inlineStr">
        <is>
          <t>在ブリスベン総領事館</t>
        </is>
      </c>
      <c r="C65" s="9">
        <f>A65&amp;"　"&amp;B65</f>
        <v/>
      </c>
    </row>
    <row r="66" ht="15" customHeight="1" s="32">
      <c r="A66" t="inlineStr">
        <is>
          <t>614V</t>
        </is>
      </c>
      <c r="B66" s="8" t="inlineStr">
        <is>
          <t>在ケアンズ領事事務所</t>
        </is>
      </c>
      <c r="C66" s="9">
        <f>A66&amp;"　"&amp;B66</f>
        <v/>
      </c>
    </row>
    <row r="67" ht="15" customHeight="1" s="32">
      <c r="A67" t="inlineStr">
        <is>
          <t>614E</t>
        </is>
      </c>
      <c r="B67" s="8" t="inlineStr">
        <is>
          <t>在メルボルン総領事館</t>
        </is>
      </c>
      <c r="C67" s="9">
        <f>A67&amp;"　"&amp;B67</f>
        <v/>
      </c>
    </row>
    <row r="68" ht="15" customHeight="1" s="32">
      <c r="A68" t="inlineStr">
        <is>
          <t>641A</t>
        </is>
      </c>
      <c r="B68" s="8" t="inlineStr">
        <is>
          <t>在キリバス大使館</t>
        </is>
      </c>
      <c r="C68" s="9">
        <f>A68&amp;"　"&amp;B68</f>
        <v/>
      </c>
    </row>
    <row r="69" ht="15" customHeight="1" s="32">
      <c r="A69" t="inlineStr">
        <is>
          <t>637A</t>
        </is>
      </c>
      <c r="B69" s="8" t="inlineStr">
        <is>
          <t>在サモア大使館</t>
        </is>
      </c>
      <c r="C69" s="9">
        <f>A69&amp;"　"&amp;B69</f>
        <v/>
      </c>
    </row>
    <row r="70" ht="15" customHeight="1" s="32">
      <c r="A70" t="inlineStr">
        <is>
          <t>624A</t>
        </is>
      </c>
      <c r="B70" s="8" t="inlineStr">
        <is>
          <t>在ソロモン大使館</t>
        </is>
      </c>
      <c r="C70" s="9">
        <f>A70&amp;"　"&amp;B70</f>
        <v/>
      </c>
    </row>
    <row r="71" ht="15" customHeight="1" s="32">
      <c r="A71" t="inlineStr">
        <is>
          <t>635A</t>
        </is>
      </c>
      <c r="B71" s="8" t="inlineStr">
        <is>
          <t>在トンガ大使館</t>
        </is>
      </c>
      <c r="C71" s="9">
        <f>A71&amp;"　"&amp;B71</f>
        <v/>
      </c>
    </row>
    <row r="72" ht="15" customHeight="1" s="32">
      <c r="A72" t="inlineStr">
        <is>
          <t>615A</t>
        </is>
      </c>
      <c r="B72" s="8" t="inlineStr">
        <is>
          <t>在ニュージーランド大使館</t>
        </is>
      </c>
      <c r="C72" s="9">
        <f>A72&amp;"　"&amp;B72</f>
        <v/>
      </c>
    </row>
    <row r="73" ht="15" customHeight="1" s="32">
      <c r="A73" t="inlineStr">
        <is>
          <t>065C</t>
        </is>
      </c>
      <c r="B73" s="8" t="inlineStr">
        <is>
          <t>在クライストチャーチ領事事務所</t>
        </is>
      </c>
      <c r="C73" s="9">
        <f>A73&amp;"　"&amp;B73</f>
        <v/>
      </c>
    </row>
    <row r="74" ht="15" customHeight="1" s="32">
      <c r="A74" t="inlineStr">
        <is>
          <t>615T</t>
        </is>
      </c>
      <c r="B74" s="8" t="inlineStr">
        <is>
          <t>在オークランド総領事館</t>
        </is>
      </c>
      <c r="C74" s="9">
        <f>A74&amp;"　"&amp;B74</f>
        <v/>
      </c>
    </row>
    <row r="75" ht="15" customHeight="1" s="32">
      <c r="A75" t="inlineStr">
        <is>
          <t>640A</t>
        </is>
      </c>
      <c r="B75" s="8" t="inlineStr">
        <is>
          <t>在バヌアツ大使館</t>
        </is>
      </c>
      <c r="C75" s="9">
        <f>A75&amp;"　"&amp;B75</f>
        <v/>
      </c>
    </row>
    <row r="76" ht="15" customHeight="1" s="32">
      <c r="A76" t="inlineStr">
        <is>
          <t>622A</t>
        </is>
      </c>
      <c r="B76" s="8" t="inlineStr">
        <is>
          <t>在パプアニューギニア大使館</t>
        </is>
      </c>
      <c r="C76" s="9">
        <f>A76&amp;"　"&amp;B76</f>
        <v/>
      </c>
    </row>
    <row r="77" ht="15" customHeight="1" s="32">
      <c r="A77" t="inlineStr">
        <is>
          <t>628A</t>
        </is>
      </c>
      <c r="B77" s="8" t="inlineStr">
        <is>
          <t>在パラオ大使館</t>
        </is>
      </c>
      <c r="C77" s="9">
        <f>A77&amp;"　"&amp;B77</f>
        <v/>
      </c>
    </row>
    <row r="78" ht="15" customHeight="1" s="32">
      <c r="A78" t="inlineStr">
        <is>
          <t>623A</t>
        </is>
      </c>
      <c r="B78" s="8" t="inlineStr">
        <is>
          <t>在フィジー大使館</t>
        </is>
      </c>
      <c r="C78" s="9">
        <f>A78&amp;"　"&amp;B78</f>
        <v/>
      </c>
    </row>
    <row r="79" ht="15" customHeight="1" s="32">
      <c r="A79" t="inlineStr">
        <is>
          <t>629A</t>
        </is>
      </c>
      <c r="B79" s="8" t="inlineStr">
        <is>
          <t>在マーシャル大使館</t>
        </is>
      </c>
      <c r="C79" s="9">
        <f>A79&amp;"　"&amp;B79</f>
        <v/>
      </c>
    </row>
    <row r="80" ht="15" customHeight="1" s="32">
      <c r="A80" t="inlineStr">
        <is>
          <t>627A</t>
        </is>
      </c>
      <c r="B80" s="8" t="inlineStr">
        <is>
          <t>在ミクロネシア大使館</t>
        </is>
      </c>
      <c r="C80" s="9">
        <f>A80&amp;"　"&amp;B80</f>
        <v/>
      </c>
    </row>
    <row r="81" ht="15" customHeight="1" s="32">
      <c r="A81" t="inlineStr">
        <is>
          <t>301A</t>
        </is>
      </c>
      <c r="B81" s="8" t="inlineStr">
        <is>
          <t>在アメリカ合衆国大使館</t>
        </is>
      </c>
      <c r="C81" s="9">
        <f>A81&amp;"　"&amp;B81</f>
        <v/>
      </c>
    </row>
    <row r="82" ht="15" customHeight="1" s="32">
      <c r="A82" t="inlineStr">
        <is>
          <t>301K</t>
        </is>
      </c>
      <c r="B82" s="8" t="inlineStr">
        <is>
          <t>在アトランタ総領事館</t>
        </is>
      </c>
      <c r="C82" s="9">
        <f>A82&amp;"　"&amp;B82</f>
        <v/>
      </c>
    </row>
    <row r="83" ht="15" customHeight="1" s="32">
      <c r="A83" t="inlineStr">
        <is>
          <t>301I</t>
        </is>
      </c>
      <c r="B83" s="8" t="inlineStr">
        <is>
          <t>在サンフランシスコ総領事館</t>
        </is>
      </c>
      <c r="C83" s="9">
        <f>A83&amp;"　"&amp;B83</f>
        <v/>
      </c>
    </row>
    <row r="84" ht="15" customHeight="1" s="32">
      <c r="A84" t="inlineStr">
        <is>
          <t>301J</t>
        </is>
      </c>
      <c r="B84" s="8" t="inlineStr">
        <is>
          <t>在シアトル総領事館</t>
        </is>
      </c>
      <c r="C84" s="9">
        <f>A84&amp;"　"&amp;B84</f>
        <v/>
      </c>
    </row>
    <row r="85" ht="15" customHeight="1" s="32">
      <c r="A85" t="inlineStr">
        <is>
          <t>301Z</t>
        </is>
      </c>
      <c r="B85" s="8" t="inlineStr">
        <is>
          <t>在アンカレジ領事事務所</t>
        </is>
      </c>
      <c r="C85" s="9">
        <f>A85&amp;"　"&amp;B85</f>
        <v/>
      </c>
    </row>
    <row r="86" ht="15" customHeight="1" s="32">
      <c r="A86" t="inlineStr">
        <is>
          <t>301D</t>
        </is>
      </c>
      <c r="B86" s="8" t="inlineStr">
        <is>
          <t>在シカゴ総領事館</t>
        </is>
      </c>
      <c r="C86" s="9">
        <f>A86&amp;"　"&amp;B86</f>
        <v/>
      </c>
    </row>
    <row r="87" ht="15" customHeight="1" s="32">
      <c r="A87" t="inlineStr">
        <is>
          <t>301R</t>
        </is>
      </c>
      <c r="B87" s="8" t="inlineStr">
        <is>
          <t>在デトロイト総領事館</t>
        </is>
      </c>
      <c r="C87" s="9">
        <f>A87&amp;"　"&amp;B87</f>
        <v/>
      </c>
    </row>
    <row r="88" ht="15" customHeight="1" s="32">
      <c r="A88" t="inlineStr">
        <is>
          <t>301S</t>
        </is>
      </c>
      <c r="B88" s="8" t="inlineStr">
        <is>
          <t>在デンバー総領事館</t>
        </is>
      </c>
      <c r="C88" s="9">
        <f>A88&amp;"　"&amp;B88</f>
        <v/>
      </c>
    </row>
    <row r="89" ht="15" customHeight="1" s="32">
      <c r="A89" t="inlineStr">
        <is>
          <t>301X</t>
        </is>
      </c>
      <c r="B89" s="8" t="inlineStr">
        <is>
          <t>在ナッシュビル総領事館</t>
        </is>
      </c>
      <c r="C89" s="9">
        <f>A89&amp;"　"&amp;B89</f>
        <v/>
      </c>
    </row>
    <row r="90" ht="15" customHeight="1" s="32">
      <c r="A90" t="inlineStr">
        <is>
          <t>301H</t>
        </is>
      </c>
      <c r="B90" s="8" t="inlineStr">
        <is>
          <t>在ニューヨーク総領事館</t>
        </is>
      </c>
      <c r="C90" s="9">
        <f>A90&amp;"　"&amp;B90</f>
        <v/>
      </c>
    </row>
    <row r="91" ht="15" customHeight="1" s="32">
      <c r="A91" t="inlineStr">
        <is>
          <t>301M</t>
        </is>
      </c>
      <c r="B91" s="8" t="inlineStr">
        <is>
          <t>在ハガッニャ総領事館</t>
        </is>
      </c>
      <c r="C91" s="9">
        <f>A91&amp;"　"&amp;B91</f>
        <v/>
      </c>
    </row>
    <row r="92" ht="15" customHeight="1" s="32">
      <c r="A92" t="inlineStr">
        <is>
          <t>067C</t>
        </is>
      </c>
      <c r="B92" s="8" t="inlineStr">
        <is>
          <t>在サイパン領事事務所</t>
        </is>
      </c>
      <c r="C92" s="9">
        <f>A92&amp;"　"&amp;B92</f>
        <v/>
      </c>
    </row>
    <row r="93" ht="15" customHeight="1" s="32">
      <c r="A93" t="inlineStr">
        <is>
          <t>301T</t>
        </is>
      </c>
      <c r="B93" s="8" t="inlineStr">
        <is>
          <t>在ヒューストン総領事館</t>
        </is>
      </c>
      <c r="C93" s="9">
        <f>A93&amp;"　"&amp;B93</f>
        <v/>
      </c>
    </row>
    <row r="94" ht="15" customHeight="1" s="32">
      <c r="A94" t="inlineStr">
        <is>
          <t>301W</t>
        </is>
      </c>
      <c r="B94" s="8" t="inlineStr">
        <is>
          <t>在ポートランド領事事務所</t>
        </is>
      </c>
      <c r="C94" s="9">
        <f>A94&amp;"　"&amp;B94</f>
        <v/>
      </c>
    </row>
    <row r="95" ht="15" customHeight="1" s="32">
      <c r="A95" t="inlineStr">
        <is>
          <t>301V</t>
        </is>
      </c>
      <c r="B95" s="8" t="inlineStr">
        <is>
          <t>在ボストン総領事館</t>
        </is>
      </c>
      <c r="C95" s="9">
        <f>A95&amp;"　"&amp;B95</f>
        <v/>
      </c>
    </row>
    <row r="96" ht="15" customHeight="1" s="32">
      <c r="A96" t="inlineStr">
        <is>
          <t>301E</t>
        </is>
      </c>
      <c r="B96" s="8" t="inlineStr">
        <is>
          <t>在ホノルル総領事館</t>
        </is>
      </c>
      <c r="C96" s="9">
        <f>A96&amp;"　"&amp;B96</f>
        <v/>
      </c>
    </row>
    <row r="97" ht="15" customHeight="1" s="32">
      <c r="A97" t="inlineStr">
        <is>
          <t>301P</t>
        </is>
      </c>
      <c r="B97" s="8" t="inlineStr">
        <is>
          <t>在マイアミ総領事館</t>
        </is>
      </c>
      <c r="C97" s="9">
        <f>A97&amp;"　"&amp;B97</f>
        <v/>
      </c>
    </row>
    <row r="98" ht="15" customHeight="1" s="32">
      <c r="A98" t="inlineStr">
        <is>
          <t>301F</t>
        </is>
      </c>
      <c r="B98" s="8" t="inlineStr">
        <is>
          <t>在ロサンゼルス総領事館</t>
        </is>
      </c>
      <c r="C98" s="9">
        <f>A98&amp;"　"&amp;B98</f>
        <v/>
      </c>
    </row>
    <row r="99" ht="15" customHeight="1" s="32">
      <c r="A99" t="inlineStr">
        <is>
          <t>302A</t>
        </is>
      </c>
      <c r="B99" s="8" t="inlineStr">
        <is>
          <t>在カナダ大使館</t>
        </is>
      </c>
      <c r="C99" s="9">
        <f>A99&amp;"　"&amp;B99</f>
        <v/>
      </c>
    </row>
    <row r="100" ht="15" customHeight="1" s="32">
      <c r="A100" t="inlineStr">
        <is>
          <t>302F</t>
        </is>
      </c>
      <c r="B100" s="8" t="inlineStr">
        <is>
          <t>在カルガリー総領事館</t>
        </is>
      </c>
      <c r="C100" s="9">
        <f>A100&amp;"　"&amp;B100</f>
        <v/>
      </c>
    </row>
    <row r="101" ht="15" customHeight="1" s="32">
      <c r="A101" t="inlineStr">
        <is>
          <t>302T</t>
        </is>
      </c>
      <c r="B101" s="8" t="inlineStr">
        <is>
          <t>在トロント総領事館</t>
        </is>
      </c>
      <c r="C101" s="9">
        <f>A101&amp;"　"&amp;B101</f>
        <v/>
      </c>
    </row>
    <row r="102" ht="15" customHeight="1" s="32">
      <c r="A102" t="inlineStr">
        <is>
          <t>302E</t>
        </is>
      </c>
      <c r="B102" s="8" t="inlineStr">
        <is>
          <t>在バンクーバー総領事館</t>
        </is>
      </c>
      <c r="C102" s="9">
        <f>A102&amp;"　"&amp;B102</f>
        <v/>
      </c>
    </row>
    <row r="103" ht="15" customHeight="1" s="32">
      <c r="A103" t="inlineStr">
        <is>
          <t>302D</t>
        </is>
      </c>
      <c r="B103" s="8" t="inlineStr">
        <is>
          <t>在モントリオール総領事館</t>
        </is>
      </c>
      <c r="C103" s="9">
        <f>A103&amp;"　"&amp;B103</f>
        <v/>
      </c>
    </row>
    <row r="104" ht="15" customHeight="1" s="32">
      <c r="A104" t="inlineStr">
        <is>
          <t>401A</t>
        </is>
      </c>
      <c r="B104" s="8" t="inlineStr">
        <is>
          <t>在アルゼンチン大使館</t>
        </is>
      </c>
      <c r="C104" s="9">
        <f>A104&amp;"　"&amp;B104</f>
        <v/>
      </c>
    </row>
    <row r="105" ht="15" customHeight="1" s="32">
      <c r="A105" t="inlineStr">
        <is>
          <t>413A</t>
        </is>
      </c>
      <c r="B105" s="8" t="inlineStr">
        <is>
          <t>在ウルグアイ大使館</t>
        </is>
      </c>
      <c r="C105" s="9">
        <f>A105&amp;"　"&amp;B105</f>
        <v/>
      </c>
    </row>
    <row r="106" ht="15" customHeight="1" s="32">
      <c r="A106" t="inlineStr">
        <is>
          <t>408A</t>
        </is>
      </c>
      <c r="B106" s="8" t="inlineStr">
        <is>
          <t>在エクアドル大使館</t>
        </is>
      </c>
      <c r="C106" s="9">
        <f>A106&amp;"　"&amp;B106</f>
        <v/>
      </c>
    </row>
    <row r="107" ht="15" customHeight="1" s="32">
      <c r="A107" t="inlineStr">
        <is>
          <t>409A</t>
        </is>
      </c>
      <c r="B107" s="8" t="inlineStr">
        <is>
          <t>在エルサルバドル大使館</t>
        </is>
      </c>
      <c r="C107" s="9">
        <f>A107&amp;"　"&amp;B107</f>
        <v/>
      </c>
    </row>
    <row r="108" ht="15" customHeight="1" s="32">
      <c r="A108" t="inlineStr">
        <is>
          <t>406A</t>
        </is>
      </c>
      <c r="B108" s="8" t="inlineStr">
        <is>
          <t>在キューバ大使館</t>
        </is>
      </c>
      <c r="C108" s="9">
        <f>A108&amp;"　"&amp;B108</f>
        <v/>
      </c>
    </row>
    <row r="109" ht="15" customHeight="1" s="32">
      <c r="A109" t="inlineStr">
        <is>
          <t>418A</t>
        </is>
      </c>
      <c r="B109" s="8" t="inlineStr">
        <is>
          <t>在グアテマラ大使館</t>
        </is>
      </c>
      <c r="C109" s="9">
        <f>A109&amp;"　"&amp;B109</f>
        <v/>
      </c>
    </row>
    <row r="110" ht="15" customHeight="1" s="32">
      <c r="A110" t="inlineStr">
        <is>
          <t>417A</t>
        </is>
      </c>
      <c r="B110" s="8" t="inlineStr">
        <is>
          <t>在コスタリカ大使館</t>
        </is>
      </c>
      <c r="C110" s="9">
        <f>A110&amp;"　"&amp;B110</f>
        <v/>
      </c>
    </row>
    <row r="111" ht="15" customHeight="1" s="32">
      <c r="A111" t="inlineStr">
        <is>
          <t>405A</t>
        </is>
      </c>
      <c r="B111" s="8" t="inlineStr">
        <is>
          <t>在コロンビア大使館</t>
        </is>
      </c>
      <c r="C111" s="9">
        <f>A111&amp;"　"&amp;B111</f>
        <v/>
      </c>
    </row>
    <row r="112" ht="15" customHeight="1" s="32">
      <c r="A112" t="inlineStr">
        <is>
          <t>420A</t>
        </is>
      </c>
      <c r="B112" s="8" t="inlineStr">
        <is>
          <t>在ジャマイカ大使館</t>
        </is>
      </c>
      <c r="C112" s="9">
        <f>A112&amp;"　"&amp;B112</f>
        <v/>
      </c>
    </row>
    <row r="113" ht="15" customHeight="1" s="32">
      <c r="A113" t="inlineStr">
        <is>
          <t>404A</t>
        </is>
      </c>
      <c r="B113" s="8" t="inlineStr">
        <is>
          <t>在チリ大使館</t>
        </is>
      </c>
      <c r="C113" s="9">
        <f>A113&amp;"　"&amp;B113</f>
        <v/>
      </c>
    </row>
    <row r="114" ht="15" customHeight="1" s="32">
      <c r="A114" t="inlineStr">
        <is>
          <t>407A</t>
        </is>
      </c>
      <c r="B114" s="8" t="inlineStr">
        <is>
          <t>在ドミニカ共和国大使館</t>
        </is>
      </c>
      <c r="C114" s="9">
        <f>A114&amp;"　"&amp;B114</f>
        <v/>
      </c>
    </row>
    <row r="115" ht="15" customHeight="1" s="32">
      <c r="A115" t="inlineStr">
        <is>
          <t>424A</t>
        </is>
      </c>
      <c r="B115" s="8" t="inlineStr">
        <is>
          <t>在トリニダード・トバゴ大使館</t>
        </is>
      </c>
      <c r="C115" s="9">
        <f>A115&amp;"　"&amp;B115</f>
        <v/>
      </c>
    </row>
    <row r="116" ht="15" customHeight="1" s="32">
      <c r="A116" t="inlineStr">
        <is>
          <t>416A</t>
        </is>
      </c>
      <c r="B116" s="8" t="inlineStr">
        <is>
          <t>在ニカラグア大使館</t>
        </is>
      </c>
      <c r="C116" s="9">
        <f>A116&amp;"　"&amp;B116</f>
        <v/>
      </c>
    </row>
    <row r="117" ht="15" customHeight="1" s="32">
      <c r="A117" t="inlineStr">
        <is>
          <t>421A</t>
        </is>
      </c>
      <c r="B117" s="8" t="inlineStr">
        <is>
          <t>在ハイチ大使館</t>
        </is>
      </c>
      <c r="C117" s="9">
        <f>A117&amp;"　"&amp;B117</f>
        <v/>
      </c>
    </row>
    <row r="118" ht="15" customHeight="1" s="32">
      <c r="A118" t="inlineStr">
        <is>
          <t>415A</t>
        </is>
      </c>
      <c r="B118" s="8" t="inlineStr">
        <is>
          <t>在パナマ大使館</t>
        </is>
      </c>
      <c r="C118" s="9">
        <f>A118&amp;"　"&amp;B118</f>
        <v/>
      </c>
    </row>
    <row r="119" ht="15" customHeight="1" s="32">
      <c r="A119" t="inlineStr">
        <is>
          <t>411A</t>
        </is>
      </c>
      <c r="B119" s="8" t="inlineStr">
        <is>
          <t>在パラグアイ大使館</t>
        </is>
      </c>
      <c r="C119" s="9">
        <f>A119&amp;"　"&amp;B119</f>
        <v/>
      </c>
    </row>
    <row r="120" ht="15" customHeight="1" s="32">
      <c r="A120" t="inlineStr">
        <is>
          <t>411E</t>
        </is>
      </c>
      <c r="B120" s="8" t="inlineStr">
        <is>
          <t>在エンカルナシオン領事事務所</t>
        </is>
      </c>
      <c r="C120" s="9">
        <f>A120&amp;"　"&amp;B120</f>
        <v/>
      </c>
    </row>
    <row r="121" ht="15" customHeight="1" s="32">
      <c r="A121" t="inlineStr">
        <is>
          <t>429A</t>
        </is>
      </c>
      <c r="B121" s="8" t="inlineStr">
        <is>
          <t>在バルバドス大使館</t>
        </is>
      </c>
      <c r="C121" s="9">
        <f>A121&amp;"　"&amp;B121</f>
        <v/>
      </c>
    </row>
    <row r="122" ht="15" customHeight="1" s="32">
      <c r="A122" t="inlineStr">
        <is>
          <t>403A</t>
        </is>
      </c>
      <c r="B122" s="8" t="inlineStr">
        <is>
          <t>在ブラジル大使館</t>
        </is>
      </c>
      <c r="C122" s="9">
        <f>A122&amp;"　"&amp;B122</f>
        <v/>
      </c>
    </row>
    <row r="123" ht="15" customHeight="1" s="32">
      <c r="A123" t="inlineStr">
        <is>
          <t>403X</t>
        </is>
      </c>
      <c r="B123" s="8" t="inlineStr">
        <is>
          <t>在ベレン領事事務所</t>
        </is>
      </c>
      <c r="C123" s="9">
        <f>A123&amp;"　"&amp;B123</f>
        <v/>
      </c>
    </row>
    <row r="124" ht="15" customHeight="1" s="32">
      <c r="A124" t="inlineStr">
        <is>
          <t>403W</t>
        </is>
      </c>
      <c r="B124" s="8" t="inlineStr">
        <is>
          <t>在レシフェ領事事務所</t>
        </is>
      </c>
      <c r="C124" s="9">
        <f>A124&amp;"　"&amp;B124</f>
        <v/>
      </c>
    </row>
    <row r="125" ht="15" customHeight="1" s="32">
      <c r="A125" t="inlineStr">
        <is>
          <t>403U</t>
        </is>
      </c>
      <c r="B125" s="8" t="inlineStr">
        <is>
          <t>在クリチバ総領事館</t>
        </is>
      </c>
      <c r="C125" s="9">
        <f>A125&amp;"　"&amp;B125</f>
        <v/>
      </c>
    </row>
    <row r="126" ht="15" customHeight="1" s="32">
      <c r="A126" t="inlineStr">
        <is>
          <t>403V</t>
        </is>
      </c>
      <c r="B126" s="8" t="inlineStr">
        <is>
          <t>在ポルトアレグレ領事事務所</t>
        </is>
      </c>
      <c r="C126" s="9">
        <f>A126&amp;"　"&amp;B126</f>
        <v/>
      </c>
    </row>
    <row r="127" ht="15" customHeight="1" s="32">
      <c r="A127" t="inlineStr">
        <is>
          <t>403G</t>
        </is>
      </c>
      <c r="B127" s="8" t="inlineStr">
        <is>
          <t>在サンパウロ総領事館</t>
        </is>
      </c>
      <c r="C127" s="9">
        <f>A127&amp;"　"&amp;B127</f>
        <v/>
      </c>
    </row>
    <row r="128" ht="15" customHeight="1" s="32">
      <c r="A128" t="inlineStr">
        <is>
          <t>403T</t>
        </is>
      </c>
      <c r="B128" s="8" t="inlineStr">
        <is>
          <t>在マナウス総領事館</t>
        </is>
      </c>
      <c r="C128" s="9">
        <f>A128&amp;"　"&amp;B128</f>
        <v/>
      </c>
    </row>
    <row r="129" ht="15" customHeight="1" s="32">
      <c r="A129" t="inlineStr">
        <is>
          <t>403H</t>
        </is>
      </c>
      <c r="B129" s="8" t="inlineStr">
        <is>
          <t>在リオデジャネイロ総領事館</t>
        </is>
      </c>
      <c r="C129" s="9">
        <f>A129&amp;"　"&amp;B129</f>
        <v/>
      </c>
    </row>
    <row r="130" ht="15" customHeight="1" s="32">
      <c r="A130" t="inlineStr">
        <is>
          <t>414A</t>
        </is>
      </c>
      <c r="B130" s="8" t="inlineStr">
        <is>
          <t>在ベネズエラ大使館</t>
        </is>
      </c>
      <c r="C130" s="9">
        <f>A130&amp;"　"&amp;B130</f>
        <v/>
      </c>
    </row>
    <row r="131" ht="15" customHeight="1" s="32">
      <c r="A131" t="inlineStr">
        <is>
          <t>412A</t>
        </is>
      </c>
      <c r="B131" s="8" t="inlineStr">
        <is>
          <t>在ペルー大使館</t>
        </is>
      </c>
      <c r="C131" s="9">
        <f>A131&amp;"　"&amp;B131</f>
        <v/>
      </c>
    </row>
    <row r="132" ht="15" customHeight="1" s="32">
      <c r="A132" t="inlineStr">
        <is>
          <t>402A</t>
        </is>
      </c>
      <c r="B132" s="8" t="inlineStr">
        <is>
          <t>在ボリビア大使館</t>
        </is>
      </c>
      <c r="C132" s="9">
        <f>A132&amp;"　"&amp;B132</f>
        <v/>
      </c>
    </row>
    <row r="133" ht="15" customHeight="1" s="32">
      <c r="A133" t="inlineStr">
        <is>
          <t>002A</t>
        </is>
      </c>
      <c r="B133" s="8" t="inlineStr">
        <is>
          <t>在サンタクルス領事事務所</t>
        </is>
      </c>
      <c r="C133" s="9">
        <f>A133&amp;"　"&amp;B133</f>
        <v/>
      </c>
    </row>
    <row r="134" ht="15" customHeight="1" s="32">
      <c r="A134" t="inlineStr">
        <is>
          <t>426A</t>
        </is>
      </c>
      <c r="B134" s="8" t="inlineStr">
        <is>
          <t>在ベリーズ大使館</t>
        </is>
      </c>
      <c r="C134" s="9">
        <f>A134&amp;"　"&amp;B134</f>
        <v/>
      </c>
    </row>
    <row r="135" ht="15" customHeight="1" s="32">
      <c r="A135" t="inlineStr">
        <is>
          <t>419A</t>
        </is>
      </c>
      <c r="B135" s="8" t="inlineStr">
        <is>
          <t>在ホンジュラス大使館</t>
        </is>
      </c>
      <c r="C135" s="9">
        <f>A135&amp;"　"&amp;B135</f>
        <v/>
      </c>
    </row>
    <row r="136" ht="15" customHeight="1" s="32">
      <c r="A136" t="inlineStr">
        <is>
          <t>410A</t>
        </is>
      </c>
      <c r="B136" s="8" t="inlineStr">
        <is>
          <t>在メキシコ大使館</t>
        </is>
      </c>
      <c r="C136" s="9">
        <f>A136&amp;"　"&amp;B136</f>
        <v/>
      </c>
    </row>
    <row r="137" ht="15" customHeight="1" s="32">
      <c r="A137" t="inlineStr">
        <is>
          <t>410D</t>
        </is>
      </c>
      <c r="B137" s="8" t="inlineStr">
        <is>
          <t>在レオン総領事館</t>
        </is>
      </c>
      <c r="C137" s="9">
        <f>A137&amp;"　"&amp;B137</f>
        <v/>
      </c>
    </row>
    <row r="138" ht="15" customHeight="1" s="32">
      <c r="A138" t="inlineStr">
        <is>
          <t>518B</t>
        </is>
      </c>
      <c r="B138" s="8" t="inlineStr">
        <is>
          <t>在アイスランド大使館</t>
        </is>
      </c>
      <c r="C138" s="9">
        <f>A138&amp;"　"&amp;B138</f>
        <v/>
      </c>
    </row>
    <row r="139" ht="15" customHeight="1" s="32">
      <c r="A139" t="inlineStr">
        <is>
          <t>522A</t>
        </is>
      </c>
      <c r="B139" s="8" t="inlineStr">
        <is>
          <t>在アイルランド大使館</t>
        </is>
      </c>
      <c r="C139" s="9">
        <f>A139&amp;"　"&amp;B139</f>
        <v/>
      </c>
    </row>
    <row r="140" ht="15" customHeight="1" s="32">
      <c r="A140" t="inlineStr">
        <is>
          <t>530A</t>
        </is>
      </c>
      <c r="B140" s="8" t="inlineStr">
        <is>
          <t>在アゼルバイジャン大使館</t>
        </is>
      </c>
      <c r="C140" s="9">
        <f>A140&amp;"　"&amp;B140</f>
        <v/>
      </c>
    </row>
    <row r="141" ht="15" customHeight="1" s="32">
      <c r="A141" t="inlineStr">
        <is>
          <t>552A</t>
        </is>
      </c>
      <c r="B141" s="8" t="inlineStr">
        <is>
          <t>在アルバニア大使館</t>
        </is>
      </c>
      <c r="C141" s="9">
        <f>A141&amp;"　"&amp;B141</f>
        <v/>
      </c>
    </row>
    <row r="142" ht="15" customHeight="1" s="32">
      <c r="A142" t="inlineStr">
        <is>
          <t>531A</t>
        </is>
      </c>
      <c r="B142" s="8" t="inlineStr">
        <is>
          <t>在アルメニア大使館</t>
        </is>
      </c>
      <c r="C142" s="9">
        <f>A142&amp;"　"&amp;B142</f>
        <v/>
      </c>
    </row>
    <row r="143" ht="15" customHeight="1" s="32">
      <c r="A143" t="inlineStr">
        <is>
          <t>509A</t>
        </is>
      </c>
      <c r="B143" s="8" t="inlineStr">
        <is>
          <t>在イタリア大使館</t>
        </is>
      </c>
      <c r="C143" s="9">
        <f>A143&amp;"　"&amp;B143</f>
        <v/>
      </c>
    </row>
    <row r="144" ht="15" customHeight="1" s="32">
      <c r="A144" t="inlineStr">
        <is>
          <t>509D</t>
        </is>
      </c>
      <c r="B144" s="8" t="inlineStr">
        <is>
          <t>在ミラノ総領事館</t>
        </is>
      </c>
      <c r="C144" s="9">
        <f>A144&amp;"　"&amp;B144</f>
        <v/>
      </c>
    </row>
    <row r="145" ht="15" customHeight="1" s="32">
      <c r="A145" t="inlineStr">
        <is>
          <t>532A</t>
        </is>
      </c>
      <c r="B145" s="8" t="inlineStr">
        <is>
          <t>在ウクライナ大使館</t>
        </is>
      </c>
      <c r="C145" s="9">
        <f>A145&amp;"　"&amp;B145</f>
        <v/>
      </c>
    </row>
    <row r="146" ht="15" customHeight="1" s="32">
      <c r="A146" t="inlineStr">
        <is>
          <t>533A</t>
        </is>
      </c>
      <c r="B146" s="8" t="inlineStr">
        <is>
          <t>在ウズベキスタン大使館</t>
        </is>
      </c>
      <c r="C146" s="9">
        <f>A146&amp;"　"&amp;B146</f>
        <v/>
      </c>
    </row>
    <row r="147" ht="15" customHeight="1" s="32">
      <c r="A147" t="inlineStr">
        <is>
          <t>518A</t>
        </is>
      </c>
      <c r="B147" s="8" t="inlineStr">
        <is>
          <t>在英国大使館</t>
        </is>
      </c>
      <c r="C147" s="9">
        <f>A147&amp;"　"&amp;B147</f>
        <v/>
      </c>
    </row>
    <row r="148" ht="15" customHeight="1" s="32">
      <c r="A148" t="inlineStr">
        <is>
          <t>518E</t>
        </is>
      </c>
      <c r="B148" s="8" t="inlineStr">
        <is>
          <t>在エディンバラ総領事館</t>
        </is>
      </c>
      <c r="C148" s="9">
        <f>A148&amp;"　"&amp;B148</f>
        <v/>
      </c>
    </row>
    <row r="149" ht="15" customHeight="1" s="32">
      <c r="A149" t="inlineStr">
        <is>
          <t>527A</t>
        </is>
      </c>
      <c r="B149" s="8" t="inlineStr">
        <is>
          <t>在エストニア大使館</t>
        </is>
      </c>
      <c r="C149" s="9">
        <f>A149&amp;"　"&amp;B149</f>
        <v/>
      </c>
    </row>
    <row r="150" ht="15" customHeight="1" s="32">
      <c r="A150" t="inlineStr">
        <is>
          <t>501A</t>
        </is>
      </c>
      <c r="B150" s="8" t="inlineStr">
        <is>
          <t>在オーストリア大使館</t>
        </is>
      </c>
      <c r="C150" s="9">
        <f>A150&amp;"　"&amp;B150</f>
        <v/>
      </c>
    </row>
    <row r="151" ht="15" customHeight="1" s="32">
      <c r="A151" t="inlineStr">
        <is>
          <t>510A</t>
        </is>
      </c>
      <c r="B151" s="8" t="inlineStr">
        <is>
          <t>在オランダ大使館</t>
        </is>
      </c>
      <c r="C151" s="9">
        <f>A151&amp;"　"&amp;B151</f>
        <v/>
      </c>
    </row>
    <row r="152" ht="15" customHeight="1" s="32">
      <c r="A152" t="inlineStr">
        <is>
          <t>534A</t>
        </is>
      </c>
      <c r="B152" s="8" t="inlineStr">
        <is>
          <t>在カザフスタン大使館</t>
        </is>
      </c>
      <c r="C152" s="9">
        <f>A152&amp;"　"&amp;B152</f>
        <v/>
      </c>
    </row>
    <row r="153" ht="15" customHeight="1" s="32">
      <c r="A153" t="inlineStr">
        <is>
          <t>544A</t>
        </is>
      </c>
      <c r="B153" s="8" t="inlineStr">
        <is>
          <t>在北マケドニア大使館</t>
        </is>
      </c>
      <c r="C153" s="9">
        <f>A153&amp;"　"&amp;B153</f>
        <v/>
      </c>
    </row>
    <row r="154" ht="15" customHeight="1" s="32">
      <c r="A154" t="inlineStr">
        <is>
          <t>553A</t>
        </is>
      </c>
      <c r="B154" s="8" t="inlineStr">
        <is>
          <t>在キプロス大使館</t>
        </is>
      </c>
      <c r="C154" s="9">
        <f>A154&amp;"　"&amp;B154</f>
        <v/>
      </c>
    </row>
    <row r="155" ht="15" customHeight="1" s="32">
      <c r="A155" t="inlineStr">
        <is>
          <t>507A</t>
        </is>
      </c>
      <c r="B155" s="8" t="inlineStr">
        <is>
          <t>在ギリシャ大使館</t>
        </is>
      </c>
      <c r="C155" s="9">
        <f>A155&amp;"　"&amp;B155</f>
        <v/>
      </c>
    </row>
    <row r="156" ht="15" customHeight="1" s="32">
      <c r="A156" t="inlineStr">
        <is>
          <t>535A</t>
        </is>
      </c>
      <c r="B156" s="8" t="inlineStr">
        <is>
          <t>在キルギス大使館</t>
        </is>
      </c>
      <c r="C156" s="9">
        <f>A156&amp;"　"&amp;B156</f>
        <v/>
      </c>
    </row>
    <row r="157" ht="15" customHeight="1" s="32">
      <c r="A157" t="inlineStr">
        <is>
          <t>542A</t>
        </is>
      </c>
      <c r="B157" s="8" t="inlineStr">
        <is>
          <t>在クロアチア大使館</t>
        </is>
      </c>
      <c r="C157" s="9">
        <f>A157&amp;"　"&amp;B157</f>
        <v/>
      </c>
    </row>
    <row r="158" ht="15" customHeight="1" s="32">
      <c r="A158" t="inlineStr">
        <is>
          <t>551A</t>
        </is>
      </c>
      <c r="B158" s="8" t="inlineStr">
        <is>
          <t>在コソボ大使館</t>
        </is>
      </c>
      <c r="C158" s="9">
        <f>A158&amp;"　"&amp;B158</f>
        <v/>
      </c>
    </row>
    <row r="159" ht="15" customHeight="1" s="32">
      <c r="A159" t="inlineStr">
        <is>
          <t>546A</t>
        </is>
      </c>
      <c r="B159" s="8" t="inlineStr">
        <is>
          <t>在サンマリノ大使館</t>
        </is>
      </c>
      <c r="C159" s="9">
        <f>A159&amp;"　"&amp;B159</f>
        <v/>
      </c>
    </row>
    <row r="160" ht="15" customHeight="1" s="32">
      <c r="A160" t="inlineStr">
        <is>
          <t>540A</t>
        </is>
      </c>
      <c r="B160" s="8" t="inlineStr">
        <is>
          <t>在ジョージア大使館</t>
        </is>
      </c>
      <c r="C160" s="9">
        <f>A160&amp;"　"&amp;B160</f>
        <v/>
      </c>
    </row>
    <row r="161" ht="15" customHeight="1" s="32">
      <c r="A161" t="inlineStr">
        <is>
          <t>516A</t>
        </is>
      </c>
      <c r="B161" s="8" t="inlineStr">
        <is>
          <t>在スイス大使館</t>
        </is>
      </c>
      <c r="C161" s="9">
        <f>A161&amp;"　"&amp;B161</f>
        <v/>
      </c>
    </row>
    <row r="162" ht="15" customHeight="1" s="32">
      <c r="A162" t="inlineStr">
        <is>
          <t>516V</t>
        </is>
      </c>
      <c r="B162" s="8" t="inlineStr">
        <is>
          <t>在ジュネーブ領事事務所</t>
        </is>
      </c>
      <c r="C162" s="9">
        <f>A162&amp;"　"&amp;B162</f>
        <v/>
      </c>
    </row>
    <row r="163" ht="15" customHeight="1" s="32">
      <c r="A163" t="inlineStr">
        <is>
          <t>515A</t>
        </is>
      </c>
      <c r="B163" s="8" t="inlineStr">
        <is>
          <t>在スウェーデン大使館</t>
        </is>
      </c>
      <c r="C163" s="9">
        <f>A163&amp;"　"&amp;B163</f>
        <v/>
      </c>
    </row>
    <row r="164" ht="15" customHeight="1" s="32">
      <c r="A164" t="inlineStr">
        <is>
          <t>514A</t>
        </is>
      </c>
      <c r="B164" s="8" t="inlineStr">
        <is>
          <t>在スペイン大使館</t>
        </is>
      </c>
      <c r="C164" s="9">
        <f>A164&amp;"　"&amp;B164</f>
        <v/>
      </c>
    </row>
    <row r="165" ht="15" customHeight="1" s="32">
      <c r="A165" t="inlineStr">
        <is>
          <t>514V</t>
        </is>
      </c>
      <c r="B165" s="8" t="inlineStr">
        <is>
          <t>在ラスパルマス領事事務所</t>
        </is>
      </c>
      <c r="C165" s="9">
        <f>A165&amp;"　"&amp;B165</f>
        <v/>
      </c>
    </row>
    <row r="166" ht="15" customHeight="1" s="32">
      <c r="A166" t="inlineStr">
        <is>
          <t>514E</t>
        </is>
      </c>
      <c r="B166" s="8" t="inlineStr">
        <is>
          <t>在バルセロナ総領事館</t>
        </is>
      </c>
      <c r="C166" s="9">
        <f>A166&amp;"　"&amp;B166</f>
        <v/>
      </c>
    </row>
    <row r="167" ht="15" customHeight="1" s="32">
      <c r="A167" t="inlineStr">
        <is>
          <t>543A</t>
        </is>
      </c>
      <c r="B167" s="8" t="inlineStr">
        <is>
          <t>在スロバキア大使館</t>
        </is>
      </c>
      <c r="C167" s="9">
        <f>A167&amp;"　"&amp;B167</f>
        <v/>
      </c>
    </row>
    <row r="168" ht="15" customHeight="1" s="32">
      <c r="A168" t="inlineStr">
        <is>
          <t>541A</t>
        </is>
      </c>
      <c r="B168" s="8" t="inlineStr">
        <is>
          <t>在スロベニア大使館</t>
        </is>
      </c>
      <c r="C168" s="9">
        <f>A168&amp;"　"&amp;B168</f>
        <v/>
      </c>
    </row>
    <row r="169" ht="15" customHeight="1" s="32">
      <c r="A169" t="inlineStr">
        <is>
          <t>520A</t>
        </is>
      </c>
      <c r="B169" s="8" t="inlineStr">
        <is>
          <t>在セルビア大使館</t>
        </is>
      </c>
      <c r="C169" s="9">
        <f>A169&amp;"　"&amp;B169</f>
        <v/>
      </c>
    </row>
    <row r="170" ht="15" customHeight="1" s="32">
      <c r="A170" t="inlineStr">
        <is>
          <t>536A</t>
        </is>
      </c>
      <c r="B170" s="8" t="inlineStr">
        <is>
          <t>在タジキスタン大使館</t>
        </is>
      </c>
      <c r="C170" s="9">
        <f>A170&amp;"　"&amp;B170</f>
        <v/>
      </c>
    </row>
    <row r="171" ht="15" customHeight="1" s="32">
      <c r="A171" t="inlineStr">
        <is>
          <t>502A</t>
        </is>
      </c>
      <c r="B171" s="8" t="inlineStr">
        <is>
          <t>在チェコ大使館</t>
        </is>
      </c>
      <c r="C171" s="9">
        <f>A171&amp;"　"&amp;B171</f>
        <v/>
      </c>
    </row>
    <row r="172" ht="15" customHeight="1" s="32">
      <c r="A172" t="inlineStr">
        <is>
          <t>503A</t>
        </is>
      </c>
      <c r="B172" s="8" t="inlineStr">
        <is>
          <t>在デンマーク大使館</t>
        </is>
      </c>
      <c r="C172" s="9">
        <f>A172&amp;"　"&amp;B172</f>
        <v/>
      </c>
    </row>
    <row r="173" ht="15" customHeight="1" s="32">
      <c r="A173" t="inlineStr">
        <is>
          <t>506A</t>
        </is>
      </c>
      <c r="B173" s="8" t="inlineStr">
        <is>
          <t>在ドイツ大使館</t>
        </is>
      </c>
      <c r="C173" s="9">
        <f>A173&amp;"　"&amp;B173</f>
        <v/>
      </c>
    </row>
    <row r="174" ht="15" customHeight="1" s="32">
      <c r="A174" t="inlineStr">
        <is>
          <t>506F</t>
        </is>
      </c>
      <c r="B174" s="8" t="inlineStr">
        <is>
          <t>在デュッセルドルフ総領事館</t>
        </is>
      </c>
      <c r="C174" s="9">
        <f>A174&amp;"　"&amp;B174</f>
        <v/>
      </c>
    </row>
    <row r="175" ht="15" customHeight="1" s="32">
      <c r="A175" t="inlineStr">
        <is>
          <t>506E</t>
        </is>
      </c>
      <c r="B175" s="8" t="inlineStr">
        <is>
          <t>在ハンブルク総領事館</t>
        </is>
      </c>
      <c r="C175" s="9">
        <f>A175&amp;"　"&amp;B175</f>
        <v/>
      </c>
    </row>
    <row r="176" ht="15" customHeight="1" s="32">
      <c r="A176" t="inlineStr">
        <is>
          <t>506I</t>
        </is>
      </c>
      <c r="B176" s="8" t="inlineStr">
        <is>
          <t>在フランクフルト総領事館</t>
        </is>
      </c>
      <c r="C176" s="9">
        <f>A176&amp;"　"&amp;B176</f>
        <v/>
      </c>
    </row>
    <row r="177" ht="15" customHeight="1" s="32">
      <c r="A177" t="inlineStr">
        <is>
          <t>506G</t>
        </is>
      </c>
      <c r="B177" s="8" t="inlineStr">
        <is>
          <t>在ミュンヘン総領事館</t>
        </is>
      </c>
      <c r="C177" s="9">
        <f>A177&amp;"　"&amp;B177</f>
        <v/>
      </c>
    </row>
    <row r="178" ht="15" customHeight="1" s="32">
      <c r="A178" t="inlineStr">
        <is>
          <t>537A</t>
        </is>
      </c>
      <c r="B178" s="8" t="inlineStr">
        <is>
          <t>在トルクメニスタン大使館</t>
        </is>
      </c>
      <c r="C178" s="9">
        <f>A178&amp;"　"&amp;B178</f>
        <v/>
      </c>
    </row>
    <row r="179" ht="15" customHeight="1" s="32">
      <c r="A179" t="inlineStr">
        <is>
          <t>511A</t>
        </is>
      </c>
      <c r="B179" s="8" t="inlineStr">
        <is>
          <t>在ノルウェー大使館</t>
        </is>
      </c>
      <c r="C179" s="9">
        <f>A179&amp;"　"&amp;B179</f>
        <v/>
      </c>
    </row>
    <row r="180" ht="15" customHeight="1" s="32">
      <c r="A180" t="inlineStr">
        <is>
          <t>519A</t>
        </is>
      </c>
      <c r="B180" s="8" t="inlineStr">
        <is>
          <t>在バチカン大使館</t>
        </is>
      </c>
      <c r="C180" s="9">
        <f>A180&amp;"　"&amp;B180</f>
        <v/>
      </c>
    </row>
    <row r="181" ht="15" customHeight="1" s="32">
      <c r="A181" t="inlineStr">
        <is>
          <t>508A</t>
        </is>
      </c>
      <c r="B181" s="8" t="inlineStr">
        <is>
          <t>在ハンガリー大使館</t>
        </is>
      </c>
      <c r="C181" s="9">
        <f>A181&amp;"　"&amp;B181</f>
        <v/>
      </c>
    </row>
    <row r="182" ht="15" customHeight="1" s="32">
      <c r="A182" t="inlineStr">
        <is>
          <t>504A</t>
        </is>
      </c>
      <c r="B182" s="8" t="inlineStr">
        <is>
          <t>在フィンランド大使館</t>
        </is>
      </c>
      <c r="C182" s="9">
        <f>A182&amp;"　"&amp;B182</f>
        <v/>
      </c>
    </row>
    <row r="183" ht="15" customHeight="1" s="32">
      <c r="A183" t="inlineStr">
        <is>
          <t>505A</t>
        </is>
      </c>
      <c r="B183" s="8" t="inlineStr">
        <is>
          <t>在フランス大使館</t>
        </is>
      </c>
      <c r="C183" s="9">
        <f>A183&amp;"　"&amp;B183</f>
        <v/>
      </c>
    </row>
    <row r="184" ht="15" customHeight="1" s="32">
      <c r="A184" t="inlineStr">
        <is>
          <t>505F</t>
        </is>
      </c>
      <c r="B184" s="8" t="inlineStr">
        <is>
          <t>在ストラスブール総領事館</t>
        </is>
      </c>
      <c r="C184" s="9">
        <f>A184&amp;"　"&amp;B184</f>
        <v/>
      </c>
    </row>
    <row r="185" ht="15" customHeight="1" s="32">
      <c r="A185" t="inlineStr">
        <is>
          <t>505E</t>
        </is>
      </c>
      <c r="B185" s="8" t="inlineStr">
        <is>
          <t>在マルセイユ総領事館</t>
        </is>
      </c>
      <c r="C185" s="9">
        <f>A185&amp;"　"&amp;B185</f>
        <v/>
      </c>
    </row>
    <row r="186" ht="15" customHeight="1" s="32">
      <c r="A186" t="inlineStr">
        <is>
          <t>505H</t>
        </is>
      </c>
      <c r="B186" s="8" t="inlineStr">
        <is>
          <t>在リヨン領事事務所</t>
        </is>
      </c>
      <c r="C186" s="9">
        <f>A186&amp;"　"&amp;B186</f>
        <v/>
      </c>
    </row>
    <row r="187" ht="15" customHeight="1" s="32">
      <c r="A187" t="inlineStr">
        <is>
          <t>524A</t>
        </is>
      </c>
      <c r="B187" s="8" t="inlineStr">
        <is>
          <t>在ブルガリア大使館</t>
        </is>
      </c>
      <c r="C187" s="9">
        <f>A187&amp;"　"&amp;B187</f>
        <v/>
      </c>
    </row>
    <row r="188" ht="15" customHeight="1" s="32">
      <c r="A188" t="inlineStr">
        <is>
          <t>538A</t>
        </is>
      </c>
      <c r="B188" s="8" t="inlineStr">
        <is>
          <t>在ベラルーシ大使館</t>
        </is>
      </c>
      <c r="C188" s="9">
        <f>A188&amp;"　"&amp;B188</f>
        <v/>
      </c>
    </row>
    <row r="189" ht="15" customHeight="1" s="32">
      <c r="A189" t="inlineStr">
        <is>
          <t>521A</t>
        </is>
      </c>
      <c r="B189" s="8" t="inlineStr">
        <is>
          <t>在ベルギー大使館</t>
        </is>
      </c>
      <c r="C189" s="9">
        <f>A189&amp;"　"&amp;B189</f>
        <v/>
      </c>
    </row>
    <row r="190" ht="15" customHeight="1" s="32">
      <c r="A190" t="inlineStr">
        <is>
          <t>512A</t>
        </is>
      </c>
      <c r="B190" s="8" t="inlineStr">
        <is>
          <t>在ポーランド大使館</t>
        </is>
      </c>
      <c r="C190" s="9">
        <f>A190&amp;"　"&amp;B190</f>
        <v/>
      </c>
    </row>
    <row r="191" ht="15" customHeight="1" s="32">
      <c r="A191" t="inlineStr">
        <is>
          <t>547A</t>
        </is>
      </c>
      <c r="B191" s="8" t="inlineStr">
        <is>
          <t>在ボスニア・ヘルツェゴビナ大使館</t>
        </is>
      </c>
      <c r="C191" s="9">
        <f>A191&amp;"　"&amp;B191</f>
        <v/>
      </c>
    </row>
    <row r="192" ht="15" customHeight="1" s="32">
      <c r="A192" t="inlineStr">
        <is>
          <t>513A</t>
        </is>
      </c>
      <c r="B192" s="8" t="inlineStr">
        <is>
          <t>在ポルトガル大使館</t>
        </is>
      </c>
      <c r="C192" s="9">
        <f>A192&amp;"　"&amp;B192</f>
        <v/>
      </c>
    </row>
    <row r="193" ht="15" customHeight="1" s="32">
      <c r="A193" t="inlineStr">
        <is>
          <t>750A</t>
        </is>
      </c>
      <c r="B193" s="8" t="inlineStr">
        <is>
          <t>在マルタ大使館</t>
        </is>
      </c>
      <c r="C193" s="9">
        <f>A193&amp;"　"&amp;B193</f>
        <v/>
      </c>
    </row>
    <row r="194" ht="15" customHeight="1" s="32">
      <c r="A194" t="inlineStr">
        <is>
          <t>550A</t>
        </is>
      </c>
      <c r="B194" s="8" t="inlineStr">
        <is>
          <t>在モナコ大使館</t>
        </is>
      </c>
      <c r="C194" s="9">
        <f>A194&amp;"　"&amp;B194</f>
        <v/>
      </c>
    </row>
    <row r="195" ht="15" customHeight="1" s="32">
      <c r="A195" t="inlineStr">
        <is>
          <t>539A</t>
        </is>
      </c>
      <c r="B195" s="8" t="inlineStr">
        <is>
          <t>在モルドバ大使館</t>
        </is>
      </c>
      <c r="C195" s="9">
        <f>A195&amp;"　"&amp;B195</f>
        <v/>
      </c>
    </row>
    <row r="196" ht="15" customHeight="1" s="32">
      <c r="A196" t="inlineStr">
        <is>
          <t>549A</t>
        </is>
      </c>
      <c r="B196" s="8" t="inlineStr">
        <is>
          <t>在モンテネグロ大使館</t>
        </is>
      </c>
      <c r="C196" s="9">
        <f>A196&amp;"　"&amp;B196</f>
        <v/>
      </c>
    </row>
    <row r="197" ht="15" customHeight="1" s="32">
      <c r="A197" t="inlineStr">
        <is>
          <t>528A</t>
        </is>
      </c>
      <c r="B197" s="8" t="inlineStr">
        <is>
          <t>在ラトビア大使館</t>
        </is>
      </c>
      <c r="C197" s="9">
        <f>A197&amp;"　"&amp;B197</f>
        <v/>
      </c>
    </row>
    <row r="198" ht="15" customHeight="1" s="32">
      <c r="A198" t="inlineStr">
        <is>
          <t>529A</t>
        </is>
      </c>
      <c r="B198" s="8" t="inlineStr">
        <is>
          <t>在リトアニア大使館</t>
        </is>
      </c>
      <c r="C198" s="9">
        <f>A198&amp;"　"&amp;B198</f>
        <v/>
      </c>
    </row>
    <row r="199" ht="15" customHeight="1" s="32">
      <c r="A199" t="inlineStr">
        <is>
          <t>548A</t>
        </is>
      </c>
      <c r="B199" s="8" t="inlineStr">
        <is>
          <t>在リヒテンシュタイン大使館</t>
        </is>
      </c>
      <c r="C199" s="9">
        <f>A199&amp;"　"&amp;B199</f>
        <v/>
      </c>
    </row>
    <row r="200" ht="15" customHeight="1" s="32">
      <c r="A200" t="inlineStr">
        <is>
          <t>523A</t>
        </is>
      </c>
      <c r="B200" s="8" t="inlineStr">
        <is>
          <t>在ルーマニア大使館</t>
        </is>
      </c>
      <c r="C200" s="9">
        <f>A200&amp;"　"&amp;B200</f>
        <v/>
      </c>
    </row>
    <row r="201" ht="15" customHeight="1" s="32">
      <c r="A201" t="inlineStr">
        <is>
          <t>526A</t>
        </is>
      </c>
      <c r="B201" s="8" t="inlineStr">
        <is>
          <t>在ルクセンブルク大使館</t>
        </is>
      </c>
      <c r="C201" s="9">
        <f>A201&amp;"　"&amp;B201</f>
        <v/>
      </c>
    </row>
    <row r="202" ht="15" customHeight="1" s="32">
      <c r="A202" t="inlineStr">
        <is>
          <t>517A</t>
        </is>
      </c>
      <c r="B202" s="8" t="inlineStr">
        <is>
          <t>在ロシア大使館</t>
        </is>
      </c>
      <c r="C202" s="9">
        <f>A202&amp;"　"&amp;B202</f>
        <v/>
      </c>
    </row>
    <row r="203" ht="15" customHeight="1" s="32">
      <c r="A203" t="inlineStr">
        <is>
          <t>517G</t>
        </is>
      </c>
      <c r="B203" s="8" t="inlineStr">
        <is>
          <t>在ウラジオストク総領事館</t>
        </is>
      </c>
      <c r="C203" s="9">
        <f>A203&amp;"　"&amp;B203</f>
        <v/>
      </c>
    </row>
    <row r="204" ht="15" customHeight="1" s="32">
      <c r="A204" t="inlineStr">
        <is>
          <t>517F</t>
        </is>
      </c>
      <c r="B204" s="8" t="inlineStr">
        <is>
          <t>在サンクトペテルブルク総領事館</t>
        </is>
      </c>
      <c r="C204" s="9">
        <f>A204&amp;"　"&amp;B204</f>
        <v/>
      </c>
    </row>
    <row r="205" ht="15" customHeight="1" s="32">
      <c r="A205" t="inlineStr">
        <is>
          <t>517E</t>
        </is>
      </c>
      <c r="B205" s="8" t="inlineStr">
        <is>
          <t>在ハバロフスク総領事館</t>
        </is>
      </c>
      <c r="C205" s="9">
        <f>A205&amp;"　"&amp;B205</f>
        <v/>
      </c>
    </row>
    <row r="206" ht="15" customHeight="1" s="32">
      <c r="A206" t="inlineStr">
        <is>
          <t>517V</t>
        </is>
      </c>
      <c r="B206" s="8" t="inlineStr">
        <is>
          <t>在ユジノサハリンスク総領事館</t>
        </is>
      </c>
      <c r="C206" s="9">
        <f>A206&amp;"　"&amp;B206</f>
        <v/>
      </c>
    </row>
    <row r="207" ht="15" customHeight="1" s="32">
      <c r="A207" t="inlineStr">
        <is>
          <t>516V</t>
        </is>
      </c>
      <c r="B207" s="8" t="inlineStr">
        <is>
          <t>在ジュネーブ領事事務所</t>
        </is>
      </c>
      <c r="C207" s="9">
        <f>A207&amp;"　"&amp;B207</f>
        <v/>
      </c>
    </row>
    <row r="208" ht="15" customHeight="1" s="32">
      <c r="A208" t="inlineStr">
        <is>
          <t>701A</t>
        </is>
      </c>
      <c r="B208" s="8" t="inlineStr">
        <is>
          <t>在アフガニスタン大使館</t>
        </is>
      </c>
      <c r="C208" s="9">
        <f>A208&amp;"　"&amp;B208</f>
        <v/>
      </c>
    </row>
    <row r="209" ht="15" customHeight="1" s="32">
      <c r="A209" t="inlineStr">
        <is>
          <t>755A</t>
        </is>
      </c>
      <c r="B209" s="8" t="inlineStr">
        <is>
          <t>在アラブ首長国連邦大使館</t>
        </is>
      </c>
      <c r="C209" s="9">
        <f>A209&amp;"　"&amp;B209</f>
        <v/>
      </c>
    </row>
    <row r="210" ht="15" customHeight="1" s="32">
      <c r="A210" t="inlineStr">
        <is>
          <t>755D</t>
        </is>
      </c>
      <c r="B210" s="8" t="inlineStr">
        <is>
          <t>在ドバイ総領事館</t>
        </is>
      </c>
      <c r="C210" s="9">
        <f>A210&amp;"　"&amp;B210</f>
        <v/>
      </c>
    </row>
    <row r="211" ht="15" customHeight="1" s="32">
      <c r="A211" t="inlineStr">
        <is>
          <t>759A</t>
        </is>
      </c>
      <c r="B211" s="8" t="inlineStr">
        <is>
          <t>在イエメン大使館</t>
        </is>
      </c>
      <c r="C211" s="9">
        <f>A211&amp;"　"&amp;B211</f>
        <v/>
      </c>
    </row>
    <row r="212" ht="15" customHeight="1" s="32">
      <c r="A212" t="inlineStr">
        <is>
          <t>705A</t>
        </is>
      </c>
      <c r="B212" s="8" t="inlineStr">
        <is>
          <t>在イスラエル大使館</t>
        </is>
      </c>
      <c r="C212" s="9">
        <f>A212&amp;"　"&amp;B212</f>
        <v/>
      </c>
    </row>
    <row r="213" ht="15" customHeight="1" s="32">
      <c r="A213" t="inlineStr">
        <is>
          <t>705W</t>
        </is>
      </c>
      <c r="B213" s="8" t="inlineStr">
        <is>
          <t>在ラマッラ出張駐在官事務所</t>
        </is>
      </c>
      <c r="C213" s="9">
        <f>A213&amp;"　"&amp;B213</f>
        <v/>
      </c>
    </row>
    <row r="214" ht="15" customHeight="1" s="32">
      <c r="A214" t="inlineStr">
        <is>
          <t>704A</t>
        </is>
      </c>
      <c r="B214" s="8" t="inlineStr">
        <is>
          <t>在イラク大使館</t>
        </is>
      </c>
      <c r="C214" s="9">
        <f>A214&amp;"　"&amp;B214</f>
        <v/>
      </c>
    </row>
    <row r="215" ht="15" customHeight="1" s="32">
      <c r="A215" t="inlineStr">
        <is>
          <t>704W</t>
        </is>
      </c>
      <c r="B215" s="8" t="inlineStr">
        <is>
          <t>在エルビル領事事務所</t>
        </is>
      </c>
      <c r="C215" s="9">
        <f>A215&amp;"　"&amp;B215</f>
        <v/>
      </c>
    </row>
    <row r="216" ht="15" customHeight="1" s="32">
      <c r="A216" t="inlineStr">
        <is>
          <t>703A</t>
        </is>
      </c>
      <c r="B216" s="8" t="inlineStr">
        <is>
          <t>在イラン大使館</t>
        </is>
      </c>
      <c r="C216" s="9">
        <f>A216&amp;"　"&amp;B216</f>
        <v/>
      </c>
    </row>
    <row r="217" ht="15" customHeight="1" s="32">
      <c r="A217" t="inlineStr">
        <is>
          <t>761A</t>
        </is>
      </c>
      <c r="B217" s="8" t="inlineStr">
        <is>
          <t>在オマーン大使館</t>
        </is>
      </c>
      <c r="C217" s="9">
        <f>A217&amp;"　"&amp;B217</f>
        <v/>
      </c>
    </row>
    <row r="218" ht="15" customHeight="1" s="32">
      <c r="A218" t="inlineStr">
        <is>
          <t>756A</t>
        </is>
      </c>
      <c r="B218" s="8" t="inlineStr">
        <is>
          <t>在カタール大使館</t>
        </is>
      </c>
      <c r="C218" s="9">
        <f>A218&amp;"　"&amp;B218</f>
        <v/>
      </c>
    </row>
    <row r="219" ht="15" customHeight="1" s="32">
      <c r="A219" t="inlineStr">
        <is>
          <t>706A</t>
        </is>
      </c>
      <c r="B219" s="8" t="inlineStr">
        <is>
          <t>在クウェート大使館</t>
        </is>
      </c>
      <c r="C219" s="9">
        <f>A219&amp;"　"&amp;B219</f>
        <v/>
      </c>
    </row>
    <row r="220" ht="15" customHeight="1" s="32">
      <c r="A220" t="inlineStr">
        <is>
          <t>708A</t>
        </is>
      </c>
      <c r="B220" s="8" t="inlineStr">
        <is>
          <t>在サウジアラビア大使館</t>
        </is>
      </c>
      <c r="C220" s="9">
        <f>A220&amp;"　"&amp;B220</f>
        <v/>
      </c>
    </row>
    <row r="221" ht="15" customHeight="1" s="32">
      <c r="A221" t="inlineStr">
        <is>
          <t>708D</t>
        </is>
      </c>
      <c r="B221" s="8" t="inlineStr">
        <is>
          <t>在ジッダ総領事館</t>
        </is>
      </c>
      <c r="C221" s="9">
        <f>A221&amp;"　"&amp;B221</f>
        <v/>
      </c>
    </row>
    <row r="222" ht="15" customHeight="1" s="32">
      <c r="A222" t="inlineStr">
        <is>
          <t>702A</t>
        </is>
      </c>
      <c r="B222" s="8" t="inlineStr">
        <is>
          <t>在シリア大使館</t>
        </is>
      </c>
      <c r="C222" s="9">
        <f>A222&amp;"　"&amp;B222</f>
        <v/>
      </c>
    </row>
    <row r="223" ht="15" customHeight="1" s="32">
      <c r="A223" t="inlineStr">
        <is>
          <t>709A</t>
        </is>
      </c>
      <c r="B223" s="8" t="inlineStr">
        <is>
          <t>在トルコ大使館</t>
        </is>
      </c>
      <c r="C223" s="9">
        <f>A223&amp;"　"&amp;B223</f>
        <v/>
      </c>
    </row>
    <row r="224" ht="15" customHeight="1" s="32">
      <c r="A224" t="inlineStr">
        <is>
          <t>709T</t>
        </is>
      </c>
      <c r="B224" s="8" t="inlineStr">
        <is>
          <t>在イスタンブール総領事館</t>
        </is>
      </c>
      <c r="C224" s="9">
        <f>A224&amp;"　"&amp;B224</f>
        <v/>
      </c>
    </row>
    <row r="225" ht="15" customHeight="1" s="32">
      <c r="A225" t="inlineStr">
        <is>
          <t>727A</t>
        </is>
      </c>
      <c r="B225" s="8" t="inlineStr">
        <is>
          <t>在バーレーン大使館</t>
        </is>
      </c>
      <c r="C225" s="9">
        <f>A225&amp;"　"&amp;B225</f>
        <v/>
      </c>
    </row>
    <row r="226" ht="15" customHeight="1" s="32">
      <c r="A226" t="inlineStr">
        <is>
          <t>757A</t>
        </is>
      </c>
      <c r="B226" s="8" t="inlineStr">
        <is>
          <t>在ヨルダン大使館</t>
        </is>
      </c>
      <c r="C226" s="9">
        <f>A226&amp;"　"&amp;B226</f>
        <v/>
      </c>
    </row>
    <row r="227" ht="15" customHeight="1" s="32">
      <c r="A227" t="inlineStr">
        <is>
          <t>707A</t>
        </is>
      </c>
      <c r="B227" s="8" t="inlineStr">
        <is>
          <t>在レバノン大使館</t>
        </is>
      </c>
      <c r="C227" s="9">
        <f>A227&amp;"　"&amp;B227</f>
        <v/>
      </c>
    </row>
    <row r="228" ht="15" customHeight="1" s="32">
      <c r="A228" t="inlineStr">
        <is>
          <t>722A</t>
        </is>
      </c>
      <c r="B228" s="8" t="inlineStr">
        <is>
          <t>在アルジェリア大使館</t>
        </is>
      </c>
      <c r="C228" s="9">
        <f>A228&amp;"　"&amp;B228</f>
        <v/>
      </c>
    </row>
    <row r="229" ht="15" customHeight="1" s="32">
      <c r="A229" t="inlineStr">
        <is>
          <t>731A</t>
        </is>
      </c>
      <c r="B229" s="8" t="inlineStr">
        <is>
          <t>在アンゴラ大使館</t>
        </is>
      </c>
      <c r="C229" s="9">
        <f>A229&amp;"　"&amp;B229</f>
        <v/>
      </c>
    </row>
    <row r="230" ht="15" customHeight="1" s="32">
      <c r="A230" t="inlineStr">
        <is>
          <t>764A</t>
        </is>
      </c>
      <c r="B230" s="8" t="inlineStr">
        <is>
          <t>在ウガンダ大使館</t>
        </is>
      </c>
      <c r="C230" s="9">
        <f>A230&amp;"　"&amp;B230</f>
        <v/>
      </c>
    </row>
    <row r="231" ht="15" customHeight="1" s="32">
      <c r="A231" t="inlineStr">
        <is>
          <t>720A</t>
        </is>
      </c>
      <c r="B231" s="8" t="inlineStr">
        <is>
          <t>在エジプト大使館</t>
        </is>
      </c>
      <c r="C231" s="9">
        <f>A231&amp;"　"&amp;B231</f>
        <v/>
      </c>
    </row>
    <row r="232" ht="15" customHeight="1" s="32">
      <c r="A232" t="inlineStr">
        <is>
          <t>711A</t>
        </is>
      </c>
      <c r="B232" s="8" t="inlineStr">
        <is>
          <t>在エチオピア大使館</t>
        </is>
      </c>
      <c r="C232" s="9">
        <f>A232&amp;"　"&amp;B232</f>
        <v/>
      </c>
    </row>
    <row r="233" ht="15" customHeight="1" s="32">
      <c r="A233" t="inlineStr">
        <is>
          <t>711C</t>
        </is>
      </c>
      <c r="B233" s="8" t="inlineStr">
        <is>
          <t>アフリカ連合日本政府代表部</t>
        </is>
      </c>
      <c r="C233" s="9">
        <f>A233&amp;"　"&amp;B233</f>
        <v/>
      </c>
    </row>
    <row r="234" ht="15" customHeight="1" s="32">
      <c r="A234" t="inlineStr">
        <is>
          <t>712A</t>
        </is>
      </c>
      <c r="B234" s="8" t="inlineStr">
        <is>
          <t>在ガーナ大使館</t>
        </is>
      </c>
      <c r="C234" s="9">
        <f>A234&amp;"　"&amp;B234</f>
        <v/>
      </c>
    </row>
    <row r="235" ht="15" customHeight="1" s="32">
      <c r="A235" t="inlineStr">
        <is>
          <t>752A</t>
        </is>
      </c>
      <c r="B235" s="8" t="inlineStr">
        <is>
          <t>在ガボン大使館</t>
        </is>
      </c>
      <c r="C235" s="9">
        <f>A235&amp;"　"&amp;B235</f>
        <v/>
      </c>
    </row>
    <row r="236" ht="15" customHeight="1" s="32">
      <c r="A236" t="inlineStr">
        <is>
          <t>753A</t>
        </is>
      </c>
      <c r="B236" s="8" t="inlineStr">
        <is>
          <t>在カメルーン大使館</t>
        </is>
      </c>
      <c r="C236" s="9">
        <f>A236&amp;"　"&amp;B236</f>
        <v/>
      </c>
    </row>
    <row r="237" ht="15" customHeight="1" s="32">
      <c r="A237" t="inlineStr">
        <is>
          <t>758A</t>
        </is>
      </c>
      <c r="B237" s="8" t="inlineStr">
        <is>
          <t>在ギニア大使館</t>
        </is>
      </c>
      <c r="C237" s="9">
        <f>A237&amp;"　"&amp;B237</f>
        <v/>
      </c>
    </row>
    <row r="238" ht="15" customHeight="1" s="32">
      <c r="A238" t="inlineStr">
        <is>
          <t>713A</t>
        </is>
      </c>
      <c r="B238" s="8" t="inlineStr">
        <is>
          <t>在ケニア大使館</t>
        </is>
      </c>
      <c r="C238" s="9">
        <f>A238&amp;"　"&amp;B238</f>
        <v/>
      </c>
    </row>
    <row r="239" ht="15" customHeight="1" s="32">
      <c r="A239" t="inlineStr">
        <is>
          <t>721A</t>
        </is>
      </c>
      <c r="B239" s="8" t="inlineStr">
        <is>
          <t>在コートジボワール大使館</t>
        </is>
      </c>
      <c r="C239" s="9">
        <f>A239&amp;"　"&amp;B239</f>
        <v/>
      </c>
    </row>
    <row r="240" ht="15" customHeight="1" s="32">
      <c r="A240" t="inlineStr">
        <is>
          <t>710A</t>
        </is>
      </c>
      <c r="B240" s="8" t="inlineStr">
        <is>
          <t>在コンゴ民主共和国大使館</t>
        </is>
      </c>
      <c r="C240" s="9">
        <f>A240&amp;"　"&amp;B240</f>
        <v/>
      </c>
    </row>
    <row r="241" ht="15" customHeight="1" s="32">
      <c r="A241" t="inlineStr">
        <is>
          <t>725A</t>
        </is>
      </c>
      <c r="B241" s="8" t="inlineStr">
        <is>
          <t>在ザンビア大使館</t>
        </is>
      </c>
      <c r="C241" s="9">
        <f>A241&amp;"　"&amp;B241</f>
        <v/>
      </c>
    </row>
    <row r="242" ht="15" customHeight="1" s="32">
      <c r="A242" t="inlineStr">
        <is>
          <t>767A</t>
        </is>
      </c>
      <c r="B242" s="8" t="inlineStr">
        <is>
          <t>在ジブチ大使館</t>
        </is>
      </c>
      <c r="C242" s="9">
        <f>A242&amp;"　"&amp;B242</f>
        <v/>
      </c>
    </row>
    <row r="243" ht="15" customHeight="1" s="32">
      <c r="A243" t="inlineStr">
        <is>
          <t>762A</t>
        </is>
      </c>
      <c r="B243" s="8" t="inlineStr">
        <is>
          <t>在ジンバブエ大使館</t>
        </is>
      </c>
      <c r="C243" s="9">
        <f>A243&amp;"　"&amp;B243</f>
        <v/>
      </c>
    </row>
    <row r="244" ht="15" customHeight="1" s="32">
      <c r="A244" t="inlineStr">
        <is>
          <t>719A</t>
        </is>
      </c>
      <c r="B244" s="8" t="inlineStr">
        <is>
          <t>在スーダン大使館</t>
        </is>
      </c>
      <c r="C244" s="9">
        <f>A244&amp;"　"&amp;B244</f>
        <v/>
      </c>
    </row>
    <row r="245" ht="15" customHeight="1" s="32">
      <c r="A245" t="inlineStr">
        <is>
          <t>768A</t>
        </is>
      </c>
      <c r="B245" s="8" t="inlineStr">
        <is>
          <t>在セーシェル大使館</t>
        </is>
      </c>
      <c r="C245" s="9">
        <f>A245&amp;"　"&amp;B245</f>
        <v/>
      </c>
    </row>
    <row r="246" ht="15" customHeight="1" s="32">
      <c r="A246" t="inlineStr">
        <is>
          <t>717A</t>
        </is>
      </c>
      <c r="B246" s="8" t="inlineStr">
        <is>
          <t>在セネガル大使館</t>
        </is>
      </c>
      <c r="C246" s="9">
        <f>A246&amp;"　"&amp;B246</f>
        <v/>
      </c>
    </row>
    <row r="247" ht="15" customHeight="1" s="32">
      <c r="A247" t="inlineStr">
        <is>
          <t>723A</t>
        </is>
      </c>
      <c r="B247" s="8" t="inlineStr">
        <is>
          <t>在タンザニア大使館</t>
        </is>
      </c>
      <c r="C247" s="9">
        <f>A247&amp;"　"&amp;B247</f>
        <v/>
      </c>
    </row>
    <row r="248" ht="15" customHeight="1" s="32">
      <c r="A248" t="inlineStr">
        <is>
          <t>724A</t>
        </is>
      </c>
      <c r="B248" s="8" t="inlineStr">
        <is>
          <t>在チュニジア大使館</t>
        </is>
      </c>
      <c r="C248" s="9">
        <f>A248&amp;"　"&amp;B248</f>
        <v/>
      </c>
    </row>
    <row r="249" ht="15" customHeight="1" s="32">
      <c r="A249" t="inlineStr">
        <is>
          <t>715A</t>
        </is>
      </c>
      <c r="B249" s="8" t="inlineStr">
        <is>
          <t>在ナイジェリア大使館</t>
        </is>
      </c>
      <c r="C249" s="9">
        <f>A249&amp;"　"&amp;B249</f>
        <v/>
      </c>
    </row>
    <row r="250" ht="15" customHeight="1" s="32">
      <c r="A250" t="inlineStr">
        <is>
          <t>738A</t>
        </is>
      </c>
      <c r="B250" s="8" t="inlineStr">
        <is>
          <t>在ナミビア大使館</t>
        </is>
      </c>
      <c r="C250" s="9">
        <f>A250&amp;"　"&amp;B250</f>
        <v/>
      </c>
    </row>
    <row r="251" ht="15" customHeight="1" s="32">
      <c r="A251" t="inlineStr">
        <is>
          <t>735A</t>
        </is>
      </c>
      <c r="B251" s="8" t="inlineStr">
        <is>
          <t>在ブルキナファソ大使館</t>
        </is>
      </c>
      <c r="C251" s="9">
        <f>A251&amp;"　"&amp;B251</f>
        <v/>
      </c>
    </row>
    <row r="252" ht="15" customHeight="1" s="32">
      <c r="A252" t="inlineStr">
        <is>
          <t>765A</t>
        </is>
      </c>
      <c r="B252" s="8" t="inlineStr">
        <is>
          <t>在ベナン大使館</t>
        </is>
      </c>
      <c r="C252" s="9">
        <f>A252&amp;"　"&amp;B252</f>
        <v/>
      </c>
    </row>
    <row r="253" ht="15" customHeight="1" s="32">
      <c r="A253" t="inlineStr">
        <is>
          <t>732A</t>
        </is>
      </c>
      <c r="B253" s="8" t="inlineStr">
        <is>
          <t>在ボツワナ大使館</t>
        </is>
      </c>
      <c r="C253" s="9">
        <f>A253&amp;"　"&amp;B253</f>
        <v/>
      </c>
    </row>
    <row r="254" ht="15" customHeight="1" s="32">
      <c r="A254" t="inlineStr">
        <is>
          <t>730A</t>
        </is>
      </c>
      <c r="B254" s="8" t="inlineStr">
        <is>
          <t>在マダガスカル大使館</t>
        </is>
      </c>
      <c r="C254" s="9">
        <f>A254&amp;"　"&amp;B254</f>
        <v/>
      </c>
    </row>
    <row r="255" ht="15" customHeight="1" s="32">
      <c r="A255" t="inlineStr">
        <is>
          <t>733A</t>
        </is>
      </c>
      <c r="B255" s="8" t="inlineStr">
        <is>
          <t>在マラウイ大使館</t>
        </is>
      </c>
      <c r="C255" s="9">
        <f>A255&amp;"　"&amp;B255</f>
        <v/>
      </c>
    </row>
    <row r="256" ht="15" customHeight="1" s="32">
      <c r="A256" t="inlineStr">
        <is>
          <t>734A</t>
        </is>
      </c>
      <c r="B256" s="8" t="inlineStr">
        <is>
          <t>在マリ大使館</t>
        </is>
      </c>
      <c r="C256" s="9">
        <f>A256&amp;"　"&amp;B256</f>
        <v/>
      </c>
    </row>
    <row r="257" ht="15" customHeight="1" s="32">
      <c r="A257" t="inlineStr">
        <is>
          <t>718A</t>
        </is>
      </c>
      <c r="B257" s="8" t="inlineStr">
        <is>
          <t>在南アフリカ共和国大使館</t>
        </is>
      </c>
      <c r="C257" s="9">
        <f>A257&amp;"　"&amp;B257</f>
        <v/>
      </c>
    </row>
    <row r="258" ht="15" customHeight="1" s="32">
      <c r="A258" t="inlineStr">
        <is>
          <t>018D</t>
        </is>
      </c>
      <c r="B258" s="8" t="inlineStr">
        <is>
          <t>在ケープタウン領事事務所</t>
        </is>
      </c>
      <c r="C258" s="9">
        <f>A258&amp;"　"&amp;B258</f>
        <v/>
      </c>
    </row>
    <row r="259" ht="15" customHeight="1" s="32">
      <c r="A259" t="inlineStr">
        <is>
          <t>736A</t>
        </is>
      </c>
      <c r="B259" s="8" t="inlineStr">
        <is>
          <t>在モーリタニア大使館</t>
        </is>
      </c>
      <c r="C259" s="9">
        <f>A259&amp;"　"&amp;B259</f>
        <v/>
      </c>
    </row>
    <row r="260" ht="15" customHeight="1" s="32">
      <c r="A260" t="inlineStr">
        <is>
          <t>763A</t>
        </is>
      </c>
      <c r="B260" s="8" t="inlineStr">
        <is>
          <t>在モザンビーク大使館</t>
        </is>
      </c>
      <c r="C260" s="9">
        <f>A260&amp;"　"&amp;B260</f>
        <v/>
      </c>
    </row>
    <row r="261" ht="15" customHeight="1" s="32">
      <c r="A261" t="inlineStr">
        <is>
          <t>714A</t>
        </is>
      </c>
      <c r="B261" s="8" t="inlineStr">
        <is>
          <t>在モロッコ大使館</t>
        </is>
      </c>
      <c r="C261" s="9">
        <f>A261&amp;"　"&amp;B261</f>
        <v/>
      </c>
    </row>
    <row r="262" ht="15" customHeight="1" s="32">
      <c r="A262" t="inlineStr">
        <is>
          <t>751A</t>
        </is>
      </c>
      <c r="B262" s="8" t="inlineStr">
        <is>
          <t>在リビア大使館</t>
        </is>
      </c>
      <c r="C262" s="9">
        <f>A262&amp;"　"&amp;B262</f>
        <v/>
      </c>
    </row>
    <row r="263" ht="15" customHeight="1" s="32">
      <c r="A263" t="inlineStr">
        <is>
          <t>766A</t>
        </is>
      </c>
      <c r="B263" s="8" t="inlineStr">
        <is>
          <t>在ルワンダ大使館</t>
        </is>
      </c>
      <c r="C263" s="9">
        <f>A263&amp;"　"&amp;B263</f>
        <v/>
      </c>
    </row>
    <row r="264" ht="15" customHeight="1" s="32">
      <c r="A264" t="inlineStr">
        <is>
          <t>737A</t>
        </is>
      </c>
      <c r="B264" s="8" t="inlineStr">
        <is>
          <t>在南スーダン大使館</t>
        </is>
      </c>
      <c r="C264" s="9">
        <f>A264&amp;"　"&amp;B264</f>
        <v/>
      </c>
    </row>
    <row r="265" ht="15" customHeight="1" s="32">
      <c r="A265" t="inlineStr">
        <is>
          <t>739A</t>
        </is>
      </c>
      <c r="B265" s="8" t="inlineStr">
        <is>
          <t>在モーリシャス大使館</t>
        </is>
      </c>
      <c r="C265" s="9">
        <f>A265&amp;"　"&amp;B265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2026-08-14T09:04:20Z</dcterms:created>
  <dcterms:modified xmlns:dcterms="http://purl.org/dc/terms/" xmlns:xsi="http://www.w3.org/2001/XMLSchema-instance" xsi:type="dcterms:W3CDTF">2026-10-28T14:20:20Z</dcterms:modified>
  <cp:lastModifiedBy>YUSUKE HOSHINO</cp:lastModifiedBy>
  <cp:revision>0</cp:revision>
</cp:coreProperties>
</file>