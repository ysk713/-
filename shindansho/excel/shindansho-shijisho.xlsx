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ysk71\Downloads\"/>
    </mc:Choice>
  </mc:AlternateContent>
  <xr:revisionPtr revIDLastSave="0" documentId="13_ncr:1_{BA60CF80-A00D-48ED-9080-ACAD9DC97EFE}" xr6:coauthVersionLast="47" xr6:coauthVersionMax="47" xr10:uidLastSave="{00000000-0000-0000-0000-000000000000}"/>
  <bookViews>
    <workbookView xWindow="-98" yWindow="-98" windowWidth="33946" windowHeight="21975" tabRatio="500" xr2:uid="{00000000-000D-0000-FFFF-FFFF00000000}"/>
  </bookViews>
  <sheets>
    <sheet name="入力" sheetId="1" r:id="rId1"/>
    <sheet name="診断書" sheetId="2" r:id="rId2"/>
    <sheet name="指示書" sheetId="3" r:id="rId3"/>
    <sheet name="入力ガイド" sheetId="4" r:id="rId4"/>
    <sheet name="日付選択肢" sheetId="5" state="hidden" r:id="rId5"/>
    <sheet name="用法用量マスタ" sheetId="6" state="hidden" r:id="rId6"/>
    <sheet name="在外公館リスト" sheetId="7" r:id="rId7"/>
  </sheets>
  <definedNames>
    <definedName name="_xlnm.Print_Area" localSheetId="2">指示書!$A$1:$F$36</definedName>
    <definedName name="_xlnm.Print_Area" localSheetId="1">診断書!$A$1:$F$42</definedName>
    <definedName name="_xlnm.Print_Area" localSheetId="0">入力!$A$1:$H$43</definedName>
    <definedName name="在外公館リスト">在外公館リスト!$A:$B</definedName>
  </definedNames>
  <calcPr calcId="191029" iterateDelta="1E-4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<sst xmlns="http://schemas.openxmlformats.org/spreadsheetml/2006/main" count="694" uniqueCount="677">
  <si>
    <t>医薬品購送依頼書　入力シート　－　ここに入力すると「診断書」「指示書」シートに自動反映されます</t>
  </si>
  <si>
    <t>※黄色いセルに入力してください。「診断書」「指示書」シートは自動生成されるので直接編集しないでください。</t>
  </si>
  <si>
    <t>■基本情報</t>
  </si>
  <si>
    <t>患者氏名</t>
  </si>
  <si>
    <t>姓</t>
  </si>
  <si>
    <t/>
  </si>
  <si>
    <t>名</t>
  </si>
  <si>
    <t/>
  </si>
  <si>
    <t>フリガナ</t>
  </si>
  <si>
    <t>セイ</t>
  </si>
  <si>
    <t>メイ</t>
  </si>
  <si>
    <t>生年月日（西暦）</t>
  </si>
  <si>
    <t>年</t>
  </si>
  <si>
    <t>月</t>
  </si>
  <si>
    <t>日</t>
  </si>
  <si>
    <t>職員コード</t>
  </si>
  <si>
    <t>続柄</t>
  </si>
  <si>
    <t/>
  </si>
  <si>
    <t>職員氏名</t>
  </si>
  <si>
    <t>■所属（患者所属／医務官所属）※在外公館コードのセルの▼を押すと一覧表から選べます</t>
  </si>
  <si>
    <t>患者所属</t>
  </si>
  <si>
    <t>在外公館コード</t>
  </si>
  <si>
    <t>医務官所属</t>
  </si>
  <si>
    <t>発行日（西暦）</t>
  </si>
  <si>
    <t>（発行日は西暦で入力してください。例：2026）</t>
  </si>
  <si>
    <t>医務官／健康管理医氏名</t>
  </si>
  <si>
    <t>■追加設定</t>
  </si>
  <si>
    <t>病名（慢性疾患）※自由入力</t>
  </si>
  <si>
    <t>後発医薬品への変更不可</t>
  </si>
  <si>
    <t>No</t>
  </si>
  <si>
    <t>薬品名</t>
  </si>
  <si>
    <t>含有量</t>
  </si>
  <si>
    <t>用法・用量</t>
  </si>
  <si>
    <t>用量
（1回量）</t>
  </si>
  <si>
    <t>単位</t>
  </si>
  <si>
    <t>1日分使用量
（自動計算）</t>
  </si>
  <si>
    <t>剤形</t>
  </si>
  <si>
    <t>処方日数
（日分）</t>
  </si>
  <si>
    <t/>
  </si>
  <si>
    <t/>
  </si>
  <si>
    <t>■整合性チェック（自動判定）</t>
  </si>
  <si>
    <t>① 基本情報（患者氏名・生年月日・職員コード・職員氏名・所属・発行日）が入力されているか</t>
  </si>
  <si>
    <t>② 発行日から有効期限（3ヶ月）内か</t>
  </si>
  <si>
    <t>③ 服用薬が1件以上入力されているか</t>
  </si>
  <si>
    <t>④ 入力済みの薬品行に含有量・用法用量・数量・処方日数の抜けがないか</t>
  </si>
  <si>
    <t>⑤ 購送不可の剤形（液体・軟膏・スプレー式・坐薬・冷所品）が含まれていないか</t>
  </si>
  <si>
    <t>⑥ 記名押印・署名（医師本人によるご確認をお願いします）</t>
  </si>
  <si>
    <t>要人手確認</t>
  </si>
  <si>
    <t>（原本は医薬品購送申込時に本省へ送付、写しは患者保管）</t>
  </si>
  <si>
    <t>診　断　書</t>
  </si>
  <si>
    <t>氏　名　　：</t>
  </si>
  <si>
    <t>職員コード：</t>
  </si>
  <si>
    <t>（館員家族の場合は職員コードに続柄を記入、例：xxxx（妻））</t>
  </si>
  <si>
    <t>生年月日　　：</t>
  </si>
  <si>
    <t>所　属　　：</t>
  </si>
  <si>
    <t>１．病名（慢性疾患）：</t>
  </si>
  <si>
    <t>２．服用薬・処方：</t>
  </si>
  <si>
    <t>（署名押印）</t>
  </si>
  <si>
    <t>【注意事項　患者・医師共通】　※必読※</t>
  </si>
  <si>
    <t>１．個人用医薬品購送依頼りん請の都度、本「診断書」も添付が必要。</t>
  </si>
  <si>
    <t>２．必ず署名押印をすること。</t>
  </si>
  <si>
    <t>３．本「診断書」は、福利厚生室にて保管の必要がある。</t>
  </si>
  <si>
    <t>４．本「診断書」の有効期限は３ヶ月で、使用回数は１回限り。</t>
  </si>
  <si>
    <t>５．向精神薬・睡眠薬は３０日、新薬は１４日の処方日数制限がある。</t>
  </si>
  <si>
    <t>６．本診断書原本は、医薬品購送申込時に本省へ送付すること。</t>
  </si>
  <si>
    <t>指　　示　　書</t>
  </si>
  <si>
    <t>生年月日</t>
  </si>
  <si>
    <t>上記の者に下記の医薬品の服用を指示します。</t>
  </si>
  <si>
    <t>記</t>
  </si>
  <si>
    <t>１日分使用量</t>
  </si>
  <si>
    <t>１．「診断書」を基に発給すること（指示書には病名を書かない）。</t>
  </si>
  <si>
    <t>２．購送できる医薬品は、錠剤、顆粒、粉末、貼り薬（湿布薬）、喘息用吸入薬（ガス不使用のものに限る）に限る。</t>
  </si>
  <si>
    <t>３．液体、軟膏、スプレー式、坐薬、冷所品等は購送不可（吸入薬はガス不使用のものに限り購送可）。</t>
  </si>
  <si>
    <t>４．必ず署名押印をすること。</t>
  </si>
  <si>
    <t>５．本「指示書」の有効期限は３ヶ月で、使用回数は１回限り。</t>
  </si>
  <si>
    <t>６．向精神薬・睡眠薬は３０日、新薬は１４日の処方日数制限がある。</t>
  </si>
  <si>
    <t>７．後発医薬品への変更の差し支えがあると判断した場合には、「後発医薬品への変更不可」に「☑」を記載すること。</t>
  </si>
  <si>
    <t>８．申込者は申し込み前に必ずオープンシェア福利厚生室HP個人用医薬品利用案内を読み、診断書指示書の内容を自身で確認・理解のうえ申込者自身の手によって９．のとおり手続きを行うこと。</t>
  </si>
  <si>
    <t>９．個人用医薬品購送申込書（様式Ａ）に本指示書（様式Ｂ）の「写」及び診断書【指示書に病名記載がないため、病名と服用薬の整合性を確認する必要があることから、診断書が必要】を添付し、封入の上、共済公信にて購送依頼をすること（メールでの申請は一切不可）。</t>
  </si>
  <si>
    <t>１０．本指示書原本は、在外療養費請求時に本省へ送付すること（それまでは申込者が保管）。</t>
  </si>
  <si>
    <t>入力ガイド（このシートは印刷不要）</t>
  </si>
  <si>
    <t>項目</t>
  </si>
  <si>
    <t>説明</t>
  </si>
  <si>
    <t>全体の仕組み</t>
  </si>
  <si>
    <t>「入力」シートに1回入力するだけで「診断書」「指示書」シートに自動反映されます。氏名・生年月日・薬品リストなどの記載ミス・不一致を防ぐため、2つの書類は入力シートを唯一の情報源としています。</t>
  </si>
  <si>
    <t>黄色のセル（入力シート）</t>
  </si>
  <si>
    <t>記入・入力してください。薬品名・含有量・用法用量・数量・処方日数・病名はすべて自由入力です。剤形／後発医薬品不可／在外公館種別のみプルダウンから選択します。</t>
  </si>
  <si>
    <t>病名（慢性疾患）</t>
  </si>
  <si>
    <t>薬品からの自動判定は行いません。診断書の「１．病名（慢性疾患）」欄に表示される内容を、この欄に直接入力してください（複数疾患は「、」区切りで入力）。</t>
  </si>
  <si>
    <t>薬品名・含有量</t>
  </si>
  <si>
    <t>いずれもプルダウンなしの自由入力です。誤字脱字がないか入力後にご確認ください。</t>
  </si>
  <si>
    <t>在外公館</t>
  </si>
  <si>
    <t>「患者所属」「医務官所属」それぞれの黄色いセル（在外公館コード）の▼をクリックすると、在外公館コード＋公館名の一覧表（プルダウン）が表示されるので、その中から該当する公館を選んでください。選択すると右側の「公館名」欄に名称が自動表示されます（コード表は「在外公館リスト」シートを参照、申込書と同じ一覧）。診断書の「所属」欄には患者所属の公館名、診断書・指示書の「在○○館」欄には医務官所属の公館名が反映されます。</t>
  </si>
  <si>
    <t>生年月日／発行日</t>
  </si>
  <si>
    <t>年・月・日をそれぞれプルダウンから選択してください。生年月日は西暦、発行日は令和年で選びます（西暦への換算は自動計算されます）。</t>
  </si>
  <si>
    <t>基本情報の一番下に配置しています。</t>
  </si>
  <si>
    <t>代表的な服用パターン一覧（29種）からプルダウンで選択します。リストにない場合は「用法用量マスタ」シートのA列末尾に追記すれば選択肢が増えます。</t>
  </si>
  <si>
    <t>服用薬（最大10件）</t>
  </si>
  <si>
    <t>薬品名・含有量・数量・処方日数は自由入力です。用法・用量／剤形はプルダウンから選択してください。処方日数は各薬品ごとに入力する形にしています。指示書下部の合計日分は、10行分の処方日数を自動で合算して表示します。</t>
  </si>
  <si>
    <t>■整合性チェック</t>
  </si>
  <si>
    <t>入力シート下部に自動チェック（①〜⑤）と総合判定が表示されます。赤色の項目があれば申込前に確認してください。</t>
  </si>
  <si>
    <t>⑤ 剤形チェック</t>
  </si>
  <si>
    <t>購送不可（液体・軟膏・スプレー・冷所品・吸入薬）の薬を選ぶと自動で警告されます。</t>
  </si>
  <si>
    <t>指示書に病名が出ない理由</t>
  </si>
  <si>
    <t>指示書の注意事項１にある通り、指示書には病名を書かない運用のため、指示書シートには病名を一切表示していません（診断書のみに表示）。</t>
  </si>
  <si>
    <t>西暦年（生年月日用）</t>
  </si>
  <si>
    <t>令和年（発行日用）</t>
  </si>
  <si>
    <t>用法・用量（選択肢）</t>
  </si>
  <si>
    <r>
      <rPr>
        <sz val="11"/>
        <color theme="1"/>
        <rFont val="Calibri"/>
        <family val="2"/>
        <charset val="1"/>
      </rPr>
      <t>1X</t>
    </r>
    <r>
      <rPr>
        <sz val="11"/>
        <color theme="1"/>
        <rFont val="Noto Sans CJK SC"/>
        <family val="2"/>
      </rPr>
      <t>朝食後</t>
    </r>
  </si>
  <si>
    <r>
      <rPr>
        <sz val="11"/>
        <color theme="1"/>
        <rFont val="Calibri"/>
        <family val="2"/>
        <charset val="1"/>
      </rPr>
      <t>1X</t>
    </r>
    <r>
      <rPr>
        <sz val="11"/>
        <color theme="1"/>
        <rFont val="Noto Sans CJK SC"/>
        <family val="2"/>
      </rPr>
      <t>昼食後</t>
    </r>
  </si>
  <si>
    <r>
      <rPr>
        <sz val="11"/>
        <color theme="1"/>
        <rFont val="Calibri"/>
        <family val="2"/>
        <charset val="1"/>
      </rPr>
      <t>1X</t>
    </r>
    <r>
      <rPr>
        <sz val="11"/>
        <color theme="1"/>
        <rFont val="Noto Sans CJK SC"/>
        <family val="2"/>
      </rPr>
      <t>夕食後</t>
    </r>
  </si>
  <si>
    <r>
      <rPr>
        <sz val="11"/>
        <color theme="1"/>
        <rFont val="Calibri"/>
        <family val="2"/>
        <charset val="1"/>
      </rPr>
      <t>1X</t>
    </r>
    <r>
      <rPr>
        <sz val="11"/>
        <color theme="1"/>
        <rFont val="Noto Sans CJK SC"/>
        <family val="2"/>
      </rPr>
      <t>朝食前</t>
    </r>
  </si>
  <si>
    <r>
      <rPr>
        <sz val="11"/>
        <color theme="1"/>
        <rFont val="Calibri"/>
        <family val="2"/>
        <charset val="1"/>
      </rPr>
      <t>1X</t>
    </r>
    <r>
      <rPr>
        <sz val="11"/>
        <color theme="1"/>
        <rFont val="Noto Sans CJK SC"/>
        <family val="2"/>
      </rPr>
      <t>夕食前</t>
    </r>
  </si>
  <si>
    <r>
      <rPr>
        <sz val="11"/>
        <color theme="1"/>
        <rFont val="Calibri"/>
        <family val="2"/>
        <charset val="1"/>
      </rPr>
      <t>1X</t>
    </r>
    <r>
      <rPr>
        <sz val="11"/>
        <color theme="1"/>
        <rFont val="Noto Sans CJK SC"/>
        <family val="2"/>
      </rPr>
      <t>起床時</t>
    </r>
  </si>
  <si>
    <r>
      <rPr>
        <sz val="11"/>
        <color theme="1"/>
        <rFont val="Calibri"/>
        <family val="2"/>
        <charset val="1"/>
      </rPr>
      <t>1X</t>
    </r>
    <r>
      <rPr>
        <sz val="11"/>
        <color theme="1"/>
        <rFont val="Noto Sans CJK SC"/>
        <family val="2"/>
      </rPr>
      <t>就寝前（寝る前）</t>
    </r>
  </si>
  <si>
    <r>
      <rPr>
        <sz val="11"/>
        <color theme="1"/>
        <rFont val="Calibri"/>
        <family val="2"/>
        <charset val="1"/>
      </rPr>
      <t>2X</t>
    </r>
    <r>
      <rPr>
        <sz val="11"/>
        <color theme="1"/>
        <rFont val="Noto Sans CJK SC"/>
        <family val="2"/>
      </rPr>
      <t>朝夕食後</t>
    </r>
  </si>
  <si>
    <r>
      <rPr>
        <sz val="11"/>
        <color theme="1"/>
        <rFont val="Calibri"/>
        <family val="2"/>
        <charset val="1"/>
      </rPr>
      <t>2X</t>
    </r>
    <r>
      <rPr>
        <sz val="11"/>
        <color theme="1"/>
        <rFont val="Noto Sans CJK SC"/>
        <family val="2"/>
      </rPr>
      <t>朝夕食前</t>
    </r>
  </si>
  <si>
    <r>
      <rPr>
        <sz val="11"/>
        <color theme="1"/>
        <rFont val="Calibri"/>
        <family val="2"/>
        <charset val="1"/>
      </rPr>
      <t>2X</t>
    </r>
    <r>
      <rPr>
        <sz val="11"/>
        <color theme="1"/>
        <rFont val="Noto Sans CJK SC"/>
        <family val="2"/>
      </rPr>
      <t>朝・昼食後</t>
    </r>
  </si>
  <si>
    <r>
      <rPr>
        <sz val="11"/>
        <color theme="1"/>
        <rFont val="Calibri"/>
        <family val="2"/>
        <charset val="1"/>
      </rPr>
      <t>2X</t>
    </r>
    <r>
      <rPr>
        <sz val="11"/>
        <color theme="1"/>
        <rFont val="Noto Sans CJK SC"/>
        <family val="2"/>
      </rPr>
      <t>朝夕食後（</t>
    </r>
    <r>
      <rPr>
        <sz val="11"/>
        <color theme="1"/>
        <rFont val="Calibri"/>
        <family val="2"/>
        <charset val="1"/>
      </rPr>
      <t>12</t>
    </r>
    <r>
      <rPr>
        <sz val="11"/>
        <color theme="1"/>
        <rFont val="Noto Sans CJK SC"/>
        <family val="2"/>
      </rPr>
      <t>時間毎）</t>
    </r>
  </si>
  <si>
    <r>
      <rPr>
        <sz val="11"/>
        <color theme="1"/>
        <rFont val="Calibri"/>
        <family val="2"/>
        <charset val="1"/>
      </rPr>
      <t>3X</t>
    </r>
    <r>
      <rPr>
        <sz val="11"/>
        <color theme="1"/>
        <rFont val="Noto Sans CJK SC"/>
        <family val="2"/>
      </rPr>
      <t>毎食後</t>
    </r>
  </si>
  <si>
    <r>
      <rPr>
        <sz val="11"/>
        <color theme="1"/>
        <rFont val="Calibri"/>
        <family val="2"/>
        <charset val="1"/>
      </rPr>
      <t>3X</t>
    </r>
    <r>
      <rPr>
        <sz val="11"/>
        <color theme="1"/>
        <rFont val="Noto Sans CJK SC"/>
        <family val="2"/>
      </rPr>
      <t>毎食前</t>
    </r>
  </si>
  <si>
    <r>
      <rPr>
        <sz val="11"/>
        <color theme="1"/>
        <rFont val="Calibri"/>
        <family val="2"/>
        <charset val="1"/>
      </rPr>
      <t>3X</t>
    </r>
    <r>
      <rPr>
        <sz val="11"/>
        <color theme="1"/>
        <rFont val="Noto Sans CJK SC"/>
        <family val="2"/>
      </rPr>
      <t>毎食間</t>
    </r>
  </si>
  <si>
    <r>
      <rPr>
        <sz val="11"/>
        <color theme="1"/>
        <rFont val="Calibri"/>
        <family val="2"/>
        <charset val="1"/>
      </rPr>
      <t>3X</t>
    </r>
    <r>
      <rPr>
        <sz val="11"/>
        <color theme="1"/>
        <rFont val="Noto Sans CJK SC"/>
        <family val="2"/>
      </rPr>
      <t>朝昼夕食後</t>
    </r>
  </si>
  <si>
    <r>
      <rPr>
        <sz val="11"/>
        <color theme="1"/>
        <rFont val="Calibri"/>
        <family val="2"/>
        <charset val="1"/>
      </rPr>
      <t>4X6</t>
    </r>
    <r>
      <rPr>
        <sz val="11"/>
        <color theme="1"/>
        <rFont val="Noto Sans CJK SC"/>
        <family val="2"/>
      </rPr>
      <t>時間毎</t>
    </r>
  </si>
  <si>
    <r>
      <rPr>
        <sz val="11"/>
        <color theme="1"/>
        <rFont val="Calibri"/>
        <family val="2"/>
        <charset val="1"/>
      </rPr>
      <t>4X</t>
    </r>
    <r>
      <rPr>
        <sz val="11"/>
        <color theme="1"/>
        <rFont val="Noto Sans CJK SC"/>
        <family val="2"/>
      </rPr>
      <t>毎食後・就寝前</t>
    </r>
  </si>
  <si>
    <t>頓服（症状出現時）</t>
  </si>
  <si>
    <t>頓服（疼痛時）</t>
  </si>
  <si>
    <t>頓服（不眠時）</t>
  </si>
  <si>
    <t>週1回</t>
  </si>
  <si>
    <t>週2回</t>
  </si>
  <si>
    <r>
      <rPr>
        <sz val="11"/>
        <color theme="1"/>
        <rFont val="Calibri"/>
        <family val="2"/>
        <charset val="1"/>
      </rPr>
      <t>2</t>
    </r>
    <r>
      <rPr>
        <sz val="11"/>
        <color theme="1"/>
        <rFont val="Noto Sans CJK SC"/>
        <family val="2"/>
      </rPr>
      <t>週に</t>
    </r>
    <r>
      <rPr>
        <sz val="11"/>
        <color theme="1"/>
        <rFont val="Calibri"/>
        <family val="2"/>
        <charset val="1"/>
      </rPr>
      <t>1</t>
    </r>
    <r>
      <rPr>
        <sz val="11"/>
        <color theme="1"/>
        <rFont val="Noto Sans CJK SC"/>
        <family val="2"/>
      </rPr>
      <t>回</t>
    </r>
  </si>
  <si>
    <r>
      <rPr>
        <sz val="11"/>
        <color theme="1"/>
        <rFont val="Calibri"/>
        <family val="2"/>
        <charset val="1"/>
      </rPr>
      <t>1</t>
    </r>
    <r>
      <rPr>
        <sz val="11"/>
        <color theme="1"/>
        <rFont val="Noto Sans CJK SC"/>
        <family val="2"/>
      </rPr>
      <t>ヶ月に</t>
    </r>
    <r>
      <rPr>
        <sz val="11"/>
        <color theme="1"/>
        <rFont val="Calibri"/>
        <family val="2"/>
        <charset val="1"/>
      </rPr>
      <t>1</t>
    </r>
    <r>
      <rPr>
        <sz val="11"/>
        <color theme="1"/>
        <rFont val="Noto Sans CJK SC"/>
        <family val="2"/>
      </rPr>
      <t>回</t>
    </r>
  </si>
  <si>
    <t>隔日1回</t>
  </si>
  <si>
    <r>
      <rPr>
        <sz val="11"/>
        <color theme="1"/>
        <rFont val="Calibri"/>
        <family val="2"/>
        <charset val="1"/>
      </rPr>
      <t>1</t>
    </r>
    <r>
      <rPr>
        <sz val="11"/>
        <color theme="1"/>
        <rFont val="Noto Sans CJK SC"/>
        <family val="2"/>
      </rPr>
      <t>日おき</t>
    </r>
  </si>
  <si>
    <t>透析後</t>
  </si>
  <si>
    <t>朝1回</t>
  </si>
  <si>
    <t>在外公館名</t>
  </si>
  <si>
    <t>選択用（コード＋公館名）</t>
  </si>
  <si>
    <t>607C</t>
  </si>
  <si>
    <t>東南アジア諸国連合日本政府代表部</t>
  </si>
  <si>
    <t>301C</t>
  </si>
  <si>
    <t>国際連合日本政府代表部</t>
  </si>
  <si>
    <t>302C</t>
  </si>
  <si>
    <t>国際民間航空機関日本政府代表部</t>
  </si>
  <si>
    <t>501C</t>
  </si>
  <si>
    <t>在ウィーン国際機関日本政府代表部</t>
  </si>
  <si>
    <t>516C</t>
  </si>
  <si>
    <t>在ジュネーブ国際機関日本政府代表部</t>
  </si>
  <si>
    <t>590C</t>
  </si>
  <si>
    <t>軍縮会議日本政府代表部</t>
  </si>
  <si>
    <t>505C</t>
  </si>
  <si>
    <t>経済協力開発機構日本政府代表部</t>
  </si>
  <si>
    <t>521C</t>
  </si>
  <si>
    <t>欧州連合日本政府代表部</t>
  </si>
  <si>
    <t>521Z</t>
  </si>
  <si>
    <t>北大西洋条約機構日本政府代表部</t>
  </si>
  <si>
    <t>505Z</t>
  </si>
  <si>
    <t>国際連合教育科学文化機関日本政府代表部</t>
  </si>
  <si>
    <t>606A</t>
  </si>
  <si>
    <t>在インド大使館</t>
  </si>
  <si>
    <t>606V</t>
  </si>
  <si>
    <t>在ベンガルール領事事務所</t>
  </si>
  <si>
    <t>606E</t>
  </si>
  <si>
    <t>在コルカタ総領事館</t>
  </si>
  <si>
    <t>606T</t>
  </si>
  <si>
    <t>在チェンナイ総領事館</t>
  </si>
  <si>
    <t>606D</t>
  </si>
  <si>
    <t>在ムンバイ総領事館</t>
  </si>
  <si>
    <t>607A</t>
  </si>
  <si>
    <t>在インドネシア大使館</t>
  </si>
  <si>
    <t>607X</t>
  </si>
  <si>
    <t>在マカッサル領事事務所</t>
  </si>
  <si>
    <t>607U</t>
  </si>
  <si>
    <t>在スラバヤ総領事館</t>
  </si>
  <si>
    <t>607F</t>
  </si>
  <si>
    <t>在デンパサール総領事館</t>
  </si>
  <si>
    <t>607T</t>
  </si>
  <si>
    <t>在メダン総領事館</t>
  </si>
  <si>
    <t>602A</t>
  </si>
  <si>
    <t>在カンボジア大使館</t>
  </si>
  <si>
    <t>602W</t>
  </si>
  <si>
    <t>在シェムリアップ領事事務所</t>
  </si>
  <si>
    <t>609D</t>
  </si>
  <si>
    <t>在シンガポール大使館</t>
  </si>
  <si>
    <t>603A</t>
  </si>
  <si>
    <t>在スリランカ大使館</t>
  </si>
  <si>
    <t>612A</t>
  </si>
  <si>
    <t>在タイ大使館</t>
  </si>
  <si>
    <t>612E</t>
  </si>
  <si>
    <t>在チェンマイ総領事館</t>
  </si>
  <si>
    <t>616A</t>
  </si>
  <si>
    <t>在大韓民国大使館</t>
  </si>
  <si>
    <t>616F</t>
  </si>
  <si>
    <t>在済州総領事館</t>
  </si>
  <si>
    <t>616D</t>
  </si>
  <si>
    <t>在釜山総領事館</t>
  </si>
  <si>
    <t>619A</t>
  </si>
  <si>
    <t>在中華人民共和国大使館</t>
  </si>
  <si>
    <t>619E</t>
  </si>
  <si>
    <t>在広州総領事館</t>
  </si>
  <si>
    <t>619D</t>
  </si>
  <si>
    <t>在上海総領事館</t>
  </si>
  <si>
    <t>619F</t>
  </si>
  <si>
    <t>在瀋陽総領事館</t>
  </si>
  <si>
    <t>619G</t>
  </si>
  <si>
    <t>在大連領事事務所</t>
  </si>
  <si>
    <t>619I</t>
  </si>
  <si>
    <t>在青島総領事館</t>
  </si>
  <si>
    <t>605D</t>
  </si>
  <si>
    <t>在香港総領事館</t>
  </si>
  <si>
    <t>619H</t>
  </si>
  <si>
    <t>在重慶総領事館</t>
  </si>
  <si>
    <t>617A</t>
  </si>
  <si>
    <t>在ネパール大使館</t>
  </si>
  <si>
    <t>610A</t>
  </si>
  <si>
    <t>在パキスタン大使館</t>
  </si>
  <si>
    <t>610E</t>
  </si>
  <si>
    <t>在カラチ総領事館</t>
  </si>
  <si>
    <t>610D</t>
  </si>
  <si>
    <t>在バングラデシュ大使館</t>
  </si>
  <si>
    <t>630A</t>
  </si>
  <si>
    <t>在東ティモール大使館</t>
  </si>
  <si>
    <t>611A</t>
  </si>
  <si>
    <t>在フィリピン大使館</t>
  </si>
  <si>
    <t>064D</t>
  </si>
  <si>
    <t>在セブ領事事務所</t>
  </si>
  <si>
    <t>064C</t>
  </si>
  <si>
    <t>在ダバオ領事事務所</t>
  </si>
  <si>
    <t>625A</t>
  </si>
  <si>
    <t>在ブルネイ大使館</t>
  </si>
  <si>
    <t>620A</t>
  </si>
  <si>
    <t>在ベトナム大使館</t>
  </si>
  <si>
    <t>620D</t>
  </si>
  <si>
    <t>在ホーチミン総領事館</t>
  </si>
  <si>
    <t>620W</t>
  </si>
  <si>
    <t>在ダナン領事事務所</t>
  </si>
  <si>
    <t>609A</t>
  </si>
  <si>
    <t>在マレーシア大使館</t>
  </si>
  <si>
    <t>609W</t>
  </si>
  <si>
    <t>在コタキナバル領事事務所</t>
  </si>
  <si>
    <t>609E</t>
  </si>
  <si>
    <t>在ペナン総領事館</t>
  </si>
  <si>
    <t>601A</t>
  </si>
  <si>
    <t>在ミャンマー大使館</t>
  </si>
  <si>
    <t>638A</t>
  </si>
  <si>
    <t>在モルディブ大使館</t>
  </si>
  <si>
    <t>618A</t>
  </si>
  <si>
    <t>在モンゴル大使館</t>
  </si>
  <si>
    <t>608A</t>
  </si>
  <si>
    <t>在ラオス大使館</t>
  </si>
  <si>
    <t>632A</t>
  </si>
  <si>
    <t>（台北事務所）</t>
  </si>
  <si>
    <t>632B</t>
  </si>
  <si>
    <t>（高雄事務所）</t>
  </si>
  <si>
    <t>614A</t>
  </si>
  <si>
    <t>在オーストラリア大使館</t>
  </si>
  <si>
    <t>614D</t>
  </si>
  <si>
    <t>在シドニー総領事館</t>
  </si>
  <si>
    <t>614F</t>
  </si>
  <si>
    <t>在パース総領事館</t>
  </si>
  <si>
    <t>614T</t>
  </si>
  <si>
    <t>在ブリスベン総領事館</t>
  </si>
  <si>
    <t>614V</t>
  </si>
  <si>
    <t>在ケアンズ領事事務所</t>
  </si>
  <si>
    <t>614E</t>
  </si>
  <si>
    <t>在メルボルン総領事館</t>
  </si>
  <si>
    <t>641A</t>
  </si>
  <si>
    <t>在キリバス大使館</t>
  </si>
  <si>
    <t>637A</t>
  </si>
  <si>
    <t>在サモア大使館</t>
  </si>
  <si>
    <t>624A</t>
  </si>
  <si>
    <t>在ソロモン大使館</t>
  </si>
  <si>
    <t>635A</t>
  </si>
  <si>
    <t>在トンガ大使館</t>
  </si>
  <si>
    <t>615A</t>
  </si>
  <si>
    <t>在ニュージーランド大使館</t>
  </si>
  <si>
    <t>065C</t>
  </si>
  <si>
    <t>在クライストチャーチ領事事務所</t>
  </si>
  <si>
    <t>615T</t>
  </si>
  <si>
    <t>在オークランド総領事館</t>
  </si>
  <si>
    <t>640A</t>
  </si>
  <si>
    <t>在バヌアツ大使館</t>
  </si>
  <si>
    <t>622A</t>
  </si>
  <si>
    <t>在パプアニューギニア大使館</t>
  </si>
  <si>
    <t>628A</t>
  </si>
  <si>
    <t>在パラオ大使館</t>
  </si>
  <si>
    <t>623A</t>
  </si>
  <si>
    <t>在フィジー大使館</t>
  </si>
  <si>
    <t>629A</t>
  </si>
  <si>
    <t>在マーシャル大使館</t>
  </si>
  <si>
    <t>627A</t>
  </si>
  <si>
    <t>在ミクロネシア大使館</t>
  </si>
  <si>
    <t>301A</t>
  </si>
  <si>
    <t>在アメリカ合衆国大使館</t>
  </si>
  <si>
    <t>301K</t>
  </si>
  <si>
    <t>在アトランタ総領事館</t>
  </si>
  <si>
    <t>301I</t>
  </si>
  <si>
    <t>在サンフランシスコ総領事館</t>
  </si>
  <si>
    <t>301J</t>
  </si>
  <si>
    <t>在シアトル総領事館</t>
  </si>
  <si>
    <t>301Z</t>
  </si>
  <si>
    <t>在アンカレジ領事事務所</t>
  </si>
  <si>
    <t>301D</t>
  </si>
  <si>
    <t>在シカゴ総領事館</t>
  </si>
  <si>
    <t>301R</t>
  </si>
  <si>
    <t>在デトロイト総領事館</t>
  </si>
  <si>
    <t>301S</t>
  </si>
  <si>
    <t>在デンバー総領事館</t>
  </si>
  <si>
    <t>301X</t>
  </si>
  <si>
    <t>在ナッシュビル総領事館</t>
  </si>
  <si>
    <t>301H</t>
  </si>
  <si>
    <t>在ニューヨーク総領事館</t>
  </si>
  <si>
    <t>301M</t>
  </si>
  <si>
    <t>在ハガッニャ総領事館</t>
  </si>
  <si>
    <t>067C</t>
  </si>
  <si>
    <t>在サイパン領事事務所</t>
  </si>
  <si>
    <t>301T</t>
  </si>
  <si>
    <t>在ヒューストン総領事館</t>
  </si>
  <si>
    <t>301W</t>
  </si>
  <si>
    <t>在ポートランド領事事務所</t>
  </si>
  <si>
    <t>301V</t>
  </si>
  <si>
    <t>在ボストン総領事館</t>
  </si>
  <si>
    <t>301E</t>
  </si>
  <si>
    <t>在ホノルル総領事館</t>
  </si>
  <si>
    <t>301P</t>
  </si>
  <si>
    <t>在マイアミ総領事館</t>
  </si>
  <si>
    <t>301F</t>
  </si>
  <si>
    <t>在ロサンゼルス総領事館</t>
  </si>
  <si>
    <t>302A</t>
  </si>
  <si>
    <t>在カナダ大使館</t>
  </si>
  <si>
    <t>302F</t>
  </si>
  <si>
    <t>在カルガリー総領事館</t>
  </si>
  <si>
    <t>302T</t>
  </si>
  <si>
    <t>在トロント総領事館</t>
  </si>
  <si>
    <t>302E</t>
  </si>
  <si>
    <t>在バンクーバー総領事館</t>
  </si>
  <si>
    <t>302D</t>
  </si>
  <si>
    <t>在モントリオール総領事館</t>
  </si>
  <si>
    <t>401A</t>
  </si>
  <si>
    <t>在アルゼンチン大使館</t>
  </si>
  <si>
    <t>413A</t>
  </si>
  <si>
    <t>在ウルグアイ大使館</t>
  </si>
  <si>
    <t>408A</t>
  </si>
  <si>
    <t>在エクアドル大使館</t>
  </si>
  <si>
    <t>409A</t>
  </si>
  <si>
    <t>在エルサルバドル大使館</t>
  </si>
  <si>
    <t>406A</t>
  </si>
  <si>
    <t>在キューバ大使館</t>
  </si>
  <si>
    <t>418A</t>
  </si>
  <si>
    <t>在グアテマラ大使館</t>
  </si>
  <si>
    <t>417A</t>
  </si>
  <si>
    <t>在コスタリカ大使館</t>
  </si>
  <si>
    <t>405A</t>
  </si>
  <si>
    <t>在コロンビア大使館</t>
  </si>
  <si>
    <t>420A</t>
  </si>
  <si>
    <t>在ジャマイカ大使館</t>
  </si>
  <si>
    <t>404A</t>
  </si>
  <si>
    <t>在チリ大使館</t>
  </si>
  <si>
    <t>407A</t>
  </si>
  <si>
    <t>在ドミニカ共和国大使館</t>
  </si>
  <si>
    <t>424A</t>
  </si>
  <si>
    <t>在トリニダード・トバゴ大使館</t>
  </si>
  <si>
    <t>416A</t>
  </si>
  <si>
    <t>在ニカラグア大使館</t>
  </si>
  <si>
    <t>421A</t>
  </si>
  <si>
    <t>在ハイチ大使館</t>
  </si>
  <si>
    <t>415A</t>
  </si>
  <si>
    <t>在パナマ大使館</t>
  </si>
  <si>
    <t>411A</t>
  </si>
  <si>
    <t>在パラグアイ大使館</t>
  </si>
  <si>
    <t>411E</t>
  </si>
  <si>
    <t>在エンカルナシオン領事事務所</t>
  </si>
  <si>
    <t>429A</t>
  </si>
  <si>
    <t>在バルバドス大使館</t>
  </si>
  <si>
    <t>403A</t>
  </si>
  <si>
    <t>在ブラジル大使館</t>
  </si>
  <si>
    <t>403X</t>
  </si>
  <si>
    <t>在ベレン領事事務所</t>
  </si>
  <si>
    <t>403W</t>
  </si>
  <si>
    <t>在レシフェ領事事務所</t>
  </si>
  <si>
    <t>403U</t>
  </si>
  <si>
    <t>在クリチバ総領事館</t>
  </si>
  <si>
    <t>403V</t>
  </si>
  <si>
    <t>在ポルトアレグレ領事事務所</t>
  </si>
  <si>
    <t>403G</t>
  </si>
  <si>
    <t>在サンパウロ総領事館</t>
  </si>
  <si>
    <t>403T</t>
  </si>
  <si>
    <t>在マナウス総領事館</t>
  </si>
  <si>
    <t>403H</t>
  </si>
  <si>
    <t>在リオデジャネイロ総領事館</t>
  </si>
  <si>
    <t>414A</t>
  </si>
  <si>
    <t>在ベネズエラ大使館</t>
  </si>
  <si>
    <t>412A</t>
  </si>
  <si>
    <t>在ペルー大使館</t>
  </si>
  <si>
    <t>402A</t>
  </si>
  <si>
    <t>在ボリビア大使館</t>
  </si>
  <si>
    <t>002A</t>
  </si>
  <si>
    <t>在サンタクルス領事事務所</t>
  </si>
  <si>
    <t>426A</t>
  </si>
  <si>
    <t>在ベリーズ大使館</t>
  </si>
  <si>
    <t>419A</t>
  </si>
  <si>
    <t>在ホンジュラス大使館</t>
  </si>
  <si>
    <t>410A</t>
  </si>
  <si>
    <t>在メキシコ大使館</t>
  </si>
  <si>
    <t>410D</t>
  </si>
  <si>
    <t>在レオン総領事館</t>
  </si>
  <si>
    <t>518B</t>
  </si>
  <si>
    <t>在アイスランド大使館</t>
  </si>
  <si>
    <t>522A</t>
  </si>
  <si>
    <t>在アイルランド大使館</t>
  </si>
  <si>
    <t>530A</t>
  </si>
  <si>
    <t>在アゼルバイジャン大使館</t>
  </si>
  <si>
    <t>552A</t>
  </si>
  <si>
    <t>在アルバニア大使館</t>
  </si>
  <si>
    <t>531A</t>
  </si>
  <si>
    <t>在アルメニア大使館</t>
  </si>
  <si>
    <t>509A</t>
  </si>
  <si>
    <t>在イタリア大使館</t>
  </si>
  <si>
    <t>509D</t>
  </si>
  <si>
    <t>在ミラノ総領事館</t>
  </si>
  <si>
    <t>532A</t>
  </si>
  <si>
    <t>在ウクライナ大使館</t>
  </si>
  <si>
    <t>533A</t>
  </si>
  <si>
    <t>在ウズベキスタン大使館</t>
  </si>
  <si>
    <t>518A</t>
  </si>
  <si>
    <t>在英国大使館</t>
  </si>
  <si>
    <t>518E</t>
  </si>
  <si>
    <t>在エディンバラ総領事館</t>
  </si>
  <si>
    <t>527A</t>
  </si>
  <si>
    <t>在エストニア大使館</t>
  </si>
  <si>
    <t>501A</t>
  </si>
  <si>
    <t>在オーストリア大使館</t>
  </si>
  <si>
    <t>510A</t>
  </si>
  <si>
    <t>在オランダ大使館</t>
  </si>
  <si>
    <t>534A</t>
  </si>
  <si>
    <t>在カザフスタン大使館</t>
  </si>
  <si>
    <t>544A</t>
  </si>
  <si>
    <t>在北マケドニア大使館</t>
  </si>
  <si>
    <t>553A</t>
  </si>
  <si>
    <t>在キプロス大使館</t>
  </si>
  <si>
    <t>507A</t>
  </si>
  <si>
    <t>在ギリシャ大使館</t>
  </si>
  <si>
    <t>535A</t>
  </si>
  <si>
    <t>在キルギス大使館</t>
  </si>
  <si>
    <t>542A</t>
  </si>
  <si>
    <t>在クロアチア大使館</t>
  </si>
  <si>
    <t>551A</t>
  </si>
  <si>
    <t>在コソボ大使館</t>
  </si>
  <si>
    <t>546A</t>
  </si>
  <si>
    <t>在サンマリノ大使館</t>
  </si>
  <si>
    <t>540A</t>
  </si>
  <si>
    <t>在ジョージア大使館</t>
  </si>
  <si>
    <t>516A</t>
  </si>
  <si>
    <t>在スイス大使館</t>
  </si>
  <si>
    <t>516V</t>
  </si>
  <si>
    <t>在ジュネーブ領事事務所</t>
  </si>
  <si>
    <t>515A</t>
  </si>
  <si>
    <t>在スウェーデン大使館</t>
  </si>
  <si>
    <t>514A</t>
  </si>
  <si>
    <t>在スペイン大使館</t>
  </si>
  <si>
    <t>514V</t>
  </si>
  <si>
    <t>在ラスパルマス領事事務所</t>
  </si>
  <si>
    <t>514E</t>
  </si>
  <si>
    <t>在バルセロナ総領事館</t>
  </si>
  <si>
    <t>543A</t>
  </si>
  <si>
    <t>在スロバキア大使館</t>
  </si>
  <si>
    <t>541A</t>
  </si>
  <si>
    <t>在スロベニア大使館</t>
  </si>
  <si>
    <t>520A</t>
  </si>
  <si>
    <t>在セルビア大使館</t>
  </si>
  <si>
    <t>536A</t>
  </si>
  <si>
    <t>在タジキスタン大使館</t>
  </si>
  <si>
    <t>502A</t>
  </si>
  <si>
    <t>在チェコ大使館</t>
  </si>
  <si>
    <t>503A</t>
  </si>
  <si>
    <t>在デンマーク大使館</t>
  </si>
  <si>
    <t>506A</t>
  </si>
  <si>
    <t>在ドイツ大使館</t>
  </si>
  <si>
    <t>506F</t>
  </si>
  <si>
    <t>在デュッセルドルフ総領事館</t>
  </si>
  <si>
    <t>506E</t>
  </si>
  <si>
    <t>在ハンブルク総領事館</t>
  </si>
  <si>
    <t>506I</t>
  </si>
  <si>
    <t>在フランクフルト総領事館</t>
  </si>
  <si>
    <t>506G</t>
  </si>
  <si>
    <t>在ミュンヘン総領事館</t>
  </si>
  <si>
    <t>537A</t>
  </si>
  <si>
    <t>在トルクメニスタン大使館</t>
  </si>
  <si>
    <t>511A</t>
  </si>
  <si>
    <t>在ノルウェー大使館</t>
  </si>
  <si>
    <t>519A</t>
  </si>
  <si>
    <t>在バチカン大使館</t>
  </si>
  <si>
    <t>508A</t>
  </si>
  <si>
    <t>在ハンガリー大使館</t>
  </si>
  <si>
    <t>504A</t>
  </si>
  <si>
    <t>在フィンランド大使館</t>
  </si>
  <si>
    <t>505A</t>
  </si>
  <si>
    <t>在フランス大使館</t>
  </si>
  <si>
    <t>505F</t>
  </si>
  <si>
    <t>在ストラスブール総領事館</t>
  </si>
  <si>
    <t>505E</t>
  </si>
  <si>
    <t>在マルセイユ総領事館</t>
  </si>
  <si>
    <t>505H</t>
  </si>
  <si>
    <t>在リヨン領事事務所</t>
  </si>
  <si>
    <t>524A</t>
  </si>
  <si>
    <t>在ブルガリア大使館</t>
  </si>
  <si>
    <t>538A</t>
  </si>
  <si>
    <t>在ベラルーシ大使館</t>
  </si>
  <si>
    <t>521A</t>
  </si>
  <si>
    <t>在ベルギー大使館</t>
  </si>
  <si>
    <t>512A</t>
  </si>
  <si>
    <t>在ポーランド大使館</t>
  </si>
  <si>
    <t>547A</t>
  </si>
  <si>
    <t>在ボスニア・ヘルツェゴビナ大使館</t>
  </si>
  <si>
    <t>513A</t>
  </si>
  <si>
    <t>在ポルトガル大使館</t>
  </si>
  <si>
    <t>750A</t>
  </si>
  <si>
    <t>在マルタ大使館</t>
  </si>
  <si>
    <t>550A</t>
  </si>
  <si>
    <t>在モナコ大使館</t>
  </si>
  <si>
    <t>539A</t>
  </si>
  <si>
    <t>在モルドバ大使館</t>
  </si>
  <si>
    <t>549A</t>
  </si>
  <si>
    <t>在モンテネグロ大使館</t>
  </si>
  <si>
    <t>528A</t>
  </si>
  <si>
    <t>在ラトビア大使館</t>
  </si>
  <si>
    <t>529A</t>
  </si>
  <si>
    <t>在リトアニア大使館</t>
  </si>
  <si>
    <t>548A</t>
  </si>
  <si>
    <t>在リヒテンシュタイン大使館</t>
  </si>
  <si>
    <t>523A</t>
  </si>
  <si>
    <t>在ルーマニア大使館</t>
  </si>
  <si>
    <t>526A</t>
  </si>
  <si>
    <t>在ルクセンブルク大使館</t>
  </si>
  <si>
    <t>517A</t>
  </si>
  <si>
    <t>在ロシア大使館</t>
  </si>
  <si>
    <t>517G</t>
  </si>
  <si>
    <t>在ウラジオストク総領事館</t>
  </si>
  <si>
    <t>517F</t>
  </si>
  <si>
    <t>在サンクトペテルブルク総領事館</t>
  </si>
  <si>
    <t>517E</t>
  </si>
  <si>
    <t>在ハバロフスク総領事館</t>
  </si>
  <si>
    <t>517V</t>
  </si>
  <si>
    <t>在ユジノサハリンスク総領事館</t>
  </si>
  <si>
    <t>701A</t>
  </si>
  <si>
    <t>在アフガニスタン大使館</t>
  </si>
  <si>
    <t>755A</t>
  </si>
  <si>
    <t>在アラブ首長国連邦大使館</t>
  </si>
  <si>
    <t>755D</t>
  </si>
  <si>
    <t>在ドバイ総領事館</t>
  </si>
  <si>
    <t>759A</t>
  </si>
  <si>
    <t>在イエメン大使館</t>
  </si>
  <si>
    <t>705A</t>
  </si>
  <si>
    <t>在イスラエル大使館</t>
  </si>
  <si>
    <t>705W</t>
  </si>
  <si>
    <t>在ラマッラ出張駐在官事務所</t>
  </si>
  <si>
    <t>704A</t>
  </si>
  <si>
    <t>在イラク大使館</t>
  </si>
  <si>
    <t>704W</t>
  </si>
  <si>
    <t>在エルビル領事事務所</t>
  </si>
  <si>
    <t>703A</t>
  </si>
  <si>
    <t>在イラン大使館</t>
  </si>
  <si>
    <t>761A</t>
  </si>
  <si>
    <t>在オマーン大使館</t>
  </si>
  <si>
    <t>756A</t>
  </si>
  <si>
    <t>在カタール大使館</t>
  </si>
  <si>
    <t>706A</t>
  </si>
  <si>
    <t>在クウェート大使館</t>
  </si>
  <si>
    <t>708A</t>
  </si>
  <si>
    <t>在サウジアラビア大使館</t>
  </si>
  <si>
    <t>708D</t>
  </si>
  <si>
    <t>在ジッダ総領事館</t>
  </si>
  <si>
    <t>702A</t>
  </si>
  <si>
    <t>在シリア大使館</t>
  </si>
  <si>
    <t>709A</t>
  </si>
  <si>
    <t>在トルコ大使館</t>
  </si>
  <si>
    <t>709T</t>
  </si>
  <si>
    <t>在イスタンブール総領事館</t>
  </si>
  <si>
    <t>727A</t>
  </si>
  <si>
    <t>在バーレーン大使館</t>
  </si>
  <si>
    <t>757A</t>
  </si>
  <si>
    <t>在ヨルダン大使館</t>
  </si>
  <si>
    <t>707A</t>
  </si>
  <si>
    <t>在レバノン大使館</t>
  </si>
  <si>
    <t>722A</t>
  </si>
  <si>
    <t>在アルジェリア大使館</t>
  </si>
  <si>
    <t>731A</t>
  </si>
  <si>
    <t>在アンゴラ大使館</t>
  </si>
  <si>
    <t>764A</t>
  </si>
  <si>
    <t>在ウガンダ大使館</t>
  </si>
  <si>
    <t>720A</t>
  </si>
  <si>
    <t>在エジプト大使館</t>
  </si>
  <si>
    <t>711A</t>
  </si>
  <si>
    <t>在エチオピア大使館</t>
  </si>
  <si>
    <t>711C</t>
  </si>
  <si>
    <t>アフリカ連合日本政府代表部</t>
  </si>
  <si>
    <t>712A</t>
  </si>
  <si>
    <t>在ガーナ大使館</t>
  </si>
  <si>
    <t>752A</t>
  </si>
  <si>
    <t>在ガボン大使館</t>
  </si>
  <si>
    <t>753A</t>
  </si>
  <si>
    <t>在カメルーン大使館</t>
  </si>
  <si>
    <t>758A</t>
  </si>
  <si>
    <t>在ギニア大使館</t>
  </si>
  <si>
    <t>713A</t>
  </si>
  <si>
    <t>在ケニア大使館</t>
  </si>
  <si>
    <t>721A</t>
  </si>
  <si>
    <t>在コートジボワール大使館</t>
  </si>
  <si>
    <t>710A</t>
  </si>
  <si>
    <t>在コンゴ民主共和国大使館</t>
  </si>
  <si>
    <t>725A</t>
  </si>
  <si>
    <t>在ザンビア大使館</t>
  </si>
  <si>
    <t>767A</t>
  </si>
  <si>
    <t>在ジブチ大使館</t>
  </si>
  <si>
    <t>762A</t>
  </si>
  <si>
    <t>在ジンバブエ大使館</t>
  </si>
  <si>
    <t>719A</t>
  </si>
  <si>
    <t>在スーダン大使館</t>
  </si>
  <si>
    <t>768A</t>
  </si>
  <si>
    <t>在セーシェル大使館</t>
  </si>
  <si>
    <t>717A</t>
  </si>
  <si>
    <t>在セネガル大使館</t>
  </si>
  <si>
    <t>723A</t>
  </si>
  <si>
    <t>在タンザニア大使館</t>
  </si>
  <si>
    <t>724A</t>
  </si>
  <si>
    <t>在チュニジア大使館</t>
  </si>
  <si>
    <t>715A</t>
  </si>
  <si>
    <t>在ナイジェリア大使館</t>
  </si>
  <si>
    <t>738A</t>
  </si>
  <si>
    <t>在ナミビア大使館</t>
  </si>
  <si>
    <t>735A</t>
  </si>
  <si>
    <t>在ブルキナファソ大使館</t>
  </si>
  <si>
    <t>765A</t>
  </si>
  <si>
    <t>在ベナン大使館</t>
  </si>
  <si>
    <t>732A</t>
  </si>
  <si>
    <t>在ボツワナ大使館</t>
  </si>
  <si>
    <t>730A</t>
  </si>
  <si>
    <t>在マダガスカル大使館</t>
  </si>
  <si>
    <t>733A</t>
  </si>
  <si>
    <t>在マラウイ大使館</t>
  </si>
  <si>
    <t>734A</t>
  </si>
  <si>
    <t>在マリ大使館</t>
  </si>
  <si>
    <t>718A</t>
  </si>
  <si>
    <t>在南アフリカ共和国大使館</t>
  </si>
  <si>
    <t>018D</t>
  </si>
  <si>
    <t>在ケープタウン領事事務所</t>
  </si>
  <si>
    <t>736A</t>
  </si>
  <si>
    <t>在モーリタニア大使館</t>
  </si>
  <si>
    <t>763A</t>
  </si>
  <si>
    <t>在モザンビーク大使館</t>
  </si>
  <si>
    <t>714A</t>
  </si>
  <si>
    <t>在モロッコ大使館</t>
  </si>
  <si>
    <t>751A</t>
  </si>
  <si>
    <t>在リビア大使館</t>
  </si>
  <si>
    <t>766A</t>
  </si>
  <si>
    <t>在ルワンダ大使館</t>
  </si>
  <si>
    <t>737A</t>
  </si>
  <si>
    <t>在南スーダン大使館</t>
  </si>
  <si>
    <t>739A</t>
  </si>
  <si>
    <t>在モーリシャス大使館</t>
  </si>
  <si>
    <t/>
  </si>
  <si>
    <t/>
  </si>
  <si>
    <t/>
  </si>
  <si>
    <t/>
  </si>
  <si>
    <t/>
  </si>
  <si>
    <t/>
  </si>
  <si>
    <t>用法</t>
  </si>
  <si>
    <t>■服用薬（最大10件・薬品名／含有量／処方日数は自由入力、用法／用量／単位／剤形はプルダウンから選択、1日分使用量は自動計算）</t>
  </si>
  <si>
    <r>
      <rPr>
        <sz val="9"/>
        <color theme="1"/>
        <rFont val="Calibri"/>
        <family val="2"/>
        <charset val="1"/>
      </rPr>
      <t>年</t>
    </r>
  </si>
  <si>
    <r>
      <rPr>
        <sz val="9"/>
        <color theme="1"/>
        <rFont val="Calibri"/>
        <family val="2"/>
        <charset val="1"/>
      </rPr>
      <t>月</t>
    </r>
  </si>
  <si>
    <t/>
  </si>
  <si>
    <t/>
  </si>
  <si>
    <t>姓</t>
    <phoneticPr fontId="26"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</si>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</sst>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33">
    <font>
      <sz val="11"/>
      <color theme="1"/>
      <name val="Calibri"/>
      <family val="2"/>
      <charset val="1"/>
    </font>
    <font>
      <b/>
      <sz val="13"/>
      <name val="Noto Sans CJK SC"/>
      <family val="2"/>
      <charset val="1"/>
    </font>
    <font>
      <sz val="9"/>
      <color rgb="FF808080"/>
      <name val="Yu Gothic"/>
      <family val="3"/>
      <charset val="128"/>
    </font>
    <font>
      <i/>
      <sz val="9"/>
      <color rgb="FF808080"/>
      <name val="Noto Sans CJK SC"/>
      <family val="2"/>
      <charset val="1"/>
    </font>
    <font>
      <sz val="9"/>
      <color rgb="FF808080"/>
      <name val="Noto Sans CJK SC"/>
      <family val="2"/>
      <charset val="1"/>
    </font>
    <font>
      <b/>
      <sz val="10"/>
      <name val="Noto Sans CJK SC"/>
      <family val="2"/>
      <charset val="1"/>
    </font>
    <font>
      <sz val="9"/>
      <name val="Noto Sans CJK SC"/>
      <family val="2"/>
      <charset val="1"/>
    </font>
    <font>
      <b/>
      <sz val="9"/>
      <name val="Noto Sans CJK SC"/>
      <charset val="1"/>
    </font>
    <font>
      <sz val="10"/>
      <name val="Noto Sans CJK SC"/>
      <family val="2"/>
      <charset val="1"/>
    </font>
    <font>
      <sz val="10"/>
      <name val="Yu Gothic"/>
      <family val="3"/>
      <charset val="128"/>
    </font>
    <font>
      <sz val="9"/>
      <name val="Noto Sans CJK SC"/>
      <charset val="1"/>
    </font>
    <font>
      <b/>
      <sz val="10"/>
      <name val="Noto Sans CJK SC"/>
      <charset val="1"/>
    </font>
    <font>
      <sz val="10"/>
      <name val="Yu Gothic"/>
      <family val="3"/>
      <charset val="128"/>
    </font>
    <font>
      <sz val="10"/>
      <color rgb="FF1F4E78"/>
      <name val="Yu Gothic"/>
      <family val="3"/>
      <charset val="128"/>
    </font>
    <font>
      <i/>
      <sz val="8"/>
      <color rgb="FF808080"/>
      <name val="Noto Sans CJK SC"/>
      <family val="2"/>
      <charset val="1"/>
    </font>
    <font>
      <b/>
      <sz val="9"/>
      <name val="Noto Sans CJK SC"/>
      <family val="2"/>
      <charset val="1"/>
    </font>
    <font>
      <b/>
      <sz val="9"/>
      <name val="Yu Gothic"/>
      <family val="3"/>
      <charset val="128"/>
    </font>
    <font>
      <b/>
      <sz val="12"/>
      <name val="Noto Sans CJK SC"/>
      <family val="2"/>
      <charset val="1"/>
    </font>
    <font>
      <b/>
      <sz val="10"/>
      <color rgb="FFFF0000"/>
      <name val="Noto Sans CJK SC"/>
      <family val="2"/>
      <charset val="1"/>
    </font>
    <font>
      <b/>
      <sz val="16"/>
      <name val="Noto Sans CJK SC"/>
      <family val="2"/>
      <charset val="1"/>
    </font>
    <font>
      <sz val="8"/>
      <name val="Noto Sans CJK SC"/>
      <family val="2"/>
      <charset val="1"/>
    </font>
    <font>
      <b/>
      <u/>
      <sz val="10"/>
      <name val="Noto Sans CJK SC"/>
      <family val="2"/>
      <charset val="1"/>
    </font>
    <font>
      <sz val="8.5"/>
      <name val="Noto Sans CJK SC"/>
      <family val="2"/>
      <charset val="1"/>
    </font>
    <font>
      <b/>
      <sz val="9.5"/>
      <color rgb="FFFF0000"/>
      <name val="Noto Sans CJK SC"/>
      <family val="2"/>
      <charset val="1"/>
    </font>
    <font>
      <sz val="11"/>
      <color theme="1"/>
      <name val="Noto Sans CJK SC"/>
      <family val="2"/>
      <charset val="1"/>
    </font>
    <font>
      <sz val="11"/>
      <color theme="1"/>
      <name val="Noto Sans CJK SC"/>
      <family val="2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9"/>
      <color theme="1"/>
      <name val="Calibri"/>
      <family val="2"/>
      <charset val="1"/>
    </font>
    <font>
      <sz val="9"/>
      <color theme="1"/>
      <name val="Noto Sans CJK SC"/>
    </font>
    <font>
      <sz val="10"/>
      <color theme="1"/>
      <name val="Yu Gothic"/>
      <family val="3"/>
      <charset val="128"/>
    </font>
    <font>
      <sz val="10"/>
      <color theme="1"/>
      <name val="Noto Sans CJK SC"/>
    </font>
    <font>
      <b/>
      <sz val="9"/>
      <name val="ＭＳ 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D9D9D9"/>
        <bgColor rgb="FFC6EFCE"/>
      </patternFill>
    </fill>
    <fill>
      <patternFill patternType="solid">
        <fgColor rgb="FFF2F2F2"/>
        <bgColor rgb="FFF2FBF2"/>
      </patternFill>
    </fill>
    <fill>
      <patternFill patternType="solid">
        <fgColor rgb="FFFFFF99"/>
        <bgColor rgb="FFFFF2CC"/>
      </patternFill>
    </fill>
    <fill>
      <patternFill patternType="solid">
        <fgColor rgb="FFFFF2CC"/>
        <bgColor rgb="FFF2F2F2"/>
      </patternFill>
    </fill>
    <fill>
      <patternFill patternType="solid">
        <fgColor rgb="FFF2FBF2"/>
        <bgColor rgb="FFF2F2F2"/>
      </patternFill>
    </fill>
    <fill>
      <patternFill patternType="solid">
        <fgColor rgb="FFFFFFFF"/>
        <bgColor rgb="FFF2FBF2"/>
      </patternFill>
    </fill>
    <fill>
      <patternFill patternType="solid">
        <fgColor rgb="FFFFFF99"/>
        <bgColor indexed="64"/>
      </patternFill>
    </fill>
    <fill>
      <patternFill patternType="solid">
        <fgColor rgb="FFBFBFB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7" fillId="2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 wrapText="1"/>
    </xf>
    <xf numFmtId="0" fontId="17" fillId="0" borderId="0" xfId="0" applyFont="1"/>
    <xf numFmtId="0" fontId="5" fillId="0" borderId="0" xfId="0" applyFont="1"/>
    <xf numFmtId="0" fontId="8" fillId="0" borderId="0" xfId="0" applyFont="1" applyAlignment="1">
      <alignment vertical="top" wrapText="1"/>
    </xf>
    <xf numFmtId="0" fontId="24" fillId="0" borderId="0" xfId="0" applyFont="1"/>
    <xf numFmtId="0" fontId="12" fillId="0" borderId="0" xfId="0" applyFont="1" applyAlignment="1">
      <alignment horizontal="left" vertical="center"/>
    </xf>
    <xf numFmtId="0" fontId="18" fillId="0" borderId="0" xfId="0" applyFont="1" applyAlignment="1">
      <alignment horizontal="right" vertical="center"/>
    </xf>
    <xf numFmtId="0" fontId="19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9" fillId="7" borderId="1" xfId="0" applyFont="1" applyFill="1" applyBorder="1" applyAlignment="1">
      <alignment horizontal="left" vertical="top" wrapText="1"/>
    </xf>
    <xf numFmtId="0" fontId="8" fillId="7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right" vertical="center"/>
    </xf>
    <xf numFmtId="0" fontId="21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6" borderId="1" xfId="0" applyFont="1" applyFill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2" fillId="0" borderId="0" xfId="0" applyFont="1" applyAlignment="1">
      <alignment horizontal="left" vertical="top" wrapText="1"/>
    </xf>
    <xf numFmtId="0" fontId="23" fillId="0" borderId="0" xfId="0" applyFont="1" applyAlignment="1">
      <alignment horizontal="left" vertical="top" wrapText="1"/>
    </xf>
    <xf numFmtId="0" fontId="1" fillId="0" borderId="0" xfId="0" applyFont="1" applyAlignment="1" applyProtection="1">
      <alignment horizontal="center" vertical="center" wrapText="1"/>
    </xf>
    <xf numFmtId="0" fontId="0" fillId="0" borderId="0" xfId="0" applyProtection="1"/>
    <xf numFmtId="0" fontId="3" fillId="0" borderId="0" xfId="0" applyFont="1" applyAlignment="1" applyProtection="1">
      <alignment horizontal="left" vertical="center"/>
    </xf>
    <xf numFmtId="0" fontId="5" fillId="2" borderId="1" xfId="0" applyFont="1" applyFill="1" applyBorder="1" applyAlignment="1" applyProtection="1">
      <alignment horizontal="left" vertical="center"/>
    </xf>
    <xf numFmtId="0" fontId="6" fillId="3" borderId="1" xfId="0" applyFont="1" applyFill="1" applyBorder="1" applyAlignment="1" applyProtection="1">
      <alignment horizontal="right" vertical="center"/>
    </xf>
    <xf numFmtId="0" fontId="7" fillId="2" borderId="1" xfId="0" applyFont="1" applyFill="1" applyBorder="1" applyAlignment="1" applyProtection="1">
      <alignment horizontal="center" vertical="center"/>
    </xf>
    <xf numFmtId="0" fontId="6" fillId="0" borderId="0" xfId="0" applyFont="1" applyAlignment="1" applyProtection="1">
      <alignment horizontal="left" vertical="center"/>
    </xf>
    <xf numFmtId="0" fontId="10" fillId="3" borderId="1" xfId="0" applyFont="1" applyFill="1" applyBorder="1" applyAlignment="1" applyProtection="1">
      <alignment horizontal="right" vertical="center"/>
    </xf>
    <xf numFmtId="0" fontId="11" fillId="2" borderId="1" xfId="0" applyFont="1" applyFill="1" applyBorder="1" applyAlignment="1" applyProtection="1">
      <alignment horizontal="left" vertical="center"/>
    </xf>
    <xf numFmtId="0" fontId="7" fillId="0" borderId="1" xfId="0" applyFont="1" applyBorder="1" applyAlignment="1" applyProtection="1">
      <alignment horizontal="center" vertical="center"/>
    </xf>
    <xf numFmtId="0" fontId="13" fillId="0" borderId="1" xfId="0" applyFont="1" applyBorder="1" applyAlignment="1" applyProtection="1">
      <alignment horizontal="left" vertical="center"/>
    </xf>
    <xf numFmtId="0" fontId="29" fillId="0" borderId="0" xfId="0" applyFont="1" applyAlignment="1" applyProtection="1">
      <alignment horizontal="left"/>
    </xf>
    <xf numFmtId="0" fontId="14" fillId="0" borderId="0" xfId="0" applyFont="1" applyAlignment="1" applyProtection="1">
      <alignment horizontal="left" vertical="center"/>
    </xf>
    <xf numFmtId="0" fontId="15" fillId="3" borderId="1" xfId="0" applyFont="1" applyFill="1" applyBorder="1" applyAlignment="1" applyProtection="1">
      <alignment horizontal="right" vertical="center"/>
    </xf>
    <xf numFmtId="0" fontId="16" fillId="2" borderId="1" xfId="0" applyFont="1" applyFill="1" applyBorder="1" applyAlignment="1" applyProtection="1">
      <alignment horizontal="center" vertical="center"/>
    </xf>
    <xf numFmtId="0" fontId="15" fillId="2" borderId="1" xfId="0" applyFont="1" applyFill="1" applyBorder="1" applyAlignment="1" applyProtection="1">
      <alignment horizontal="center" vertical="center"/>
    </xf>
    <xf numFmtId="0" fontId="7" fillId="2" borderId="1" xfId="0" applyFont="1" applyFill="1" applyBorder="1" applyAlignment="1" applyProtection="1">
      <alignment horizontal="center" vertical="center" wrapText="1"/>
    </xf>
    <xf numFmtId="0" fontId="9" fillId="0" borderId="1" xfId="0" applyFont="1" applyBorder="1" applyAlignment="1" applyProtection="1">
      <alignment horizontal="center" vertical="center"/>
    </xf>
    <xf numFmtId="0" fontId="13" fillId="3" borderId="1" xfId="0" applyFont="1" applyFill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left" vertical="center"/>
    </xf>
    <xf numFmtId="0" fontId="15" fillId="0" borderId="1" xfId="0" applyFont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left" vertical="center"/>
    </xf>
    <xf numFmtId="0" fontId="4" fillId="0" borderId="1" xfId="0" applyFont="1" applyBorder="1" applyAlignment="1" applyProtection="1">
      <alignment horizontal="center" vertical="center"/>
    </xf>
    <xf numFmtId="0" fontId="17" fillId="5" borderId="1" xfId="0" applyFont="1" applyFill="1" applyBorder="1" applyAlignment="1" applyProtection="1">
      <alignment horizontal="center" vertical="center"/>
    </xf>
    <xf numFmtId="0" fontId="8" fillId="4" borderId="1" xfId="0" applyFont="1" applyFill="1" applyBorder="1" applyAlignment="1" applyProtection="1">
      <alignment horizontal="left" vertical="center"/>
      <protection locked="0"/>
    </xf>
    <xf numFmtId="0" fontId="27" fillId="4" borderId="1" xfId="0" applyFont="1" applyFill="1" applyBorder="1" applyAlignment="1" applyProtection="1">
      <alignment horizontal="left" vertical="center"/>
      <protection locked="0"/>
    </xf>
    <xf numFmtId="0" fontId="27" fillId="4" borderId="1" xfId="0" applyFont="1" applyFill="1" applyBorder="1" applyAlignment="1" applyProtection="1">
      <alignment horizontal="left" vertical="center"/>
      <protection locked="0"/>
    </xf>
    <xf numFmtId="0" fontId="9" fillId="4" borderId="1" xfId="0" applyFont="1" applyFill="1" applyBorder="1" applyAlignment="1" applyProtection="1">
      <alignment horizontal="center" vertical="center"/>
      <protection locked="0"/>
    </xf>
    <xf numFmtId="0" fontId="8" fillId="4" borderId="1" xfId="0" applyFont="1" applyFill="1" applyBorder="1" applyAlignment="1" applyProtection="1">
      <alignment horizontal="left" vertical="center"/>
      <protection locked="0"/>
    </xf>
    <xf numFmtId="0" fontId="8" fillId="4" borderId="1" xfId="0" applyFont="1" applyFill="1" applyBorder="1" applyAlignment="1" applyProtection="1">
      <alignment horizontal="center" vertical="center"/>
      <protection locked="0"/>
    </xf>
    <xf numFmtId="0" fontId="12" fillId="4" borderId="1" xfId="0" applyFont="1" applyFill="1" applyBorder="1" applyAlignment="1" applyProtection="1">
      <alignment horizontal="left" vertical="center"/>
      <protection locked="0"/>
    </xf>
    <xf numFmtId="0" fontId="30" fillId="8" borderId="0" xfId="0" applyFont="1" applyFill="1" applyAlignment="1" applyProtection="1">
      <alignment horizontal="center"/>
      <protection locked="0"/>
    </xf>
    <xf numFmtId="0" fontId="31" fillId="8" borderId="2" xfId="0" applyFont="1" applyFill="1" applyBorder="1" applyAlignment="1" applyProtection="1">
      <alignment horizontal="left"/>
      <protection locked="0"/>
    </xf>
    <xf numFmtId="0" fontId="9" fillId="4" borderId="1" xfId="0" applyFont="1" applyFill="1" applyBorder="1" applyAlignment="1" applyProtection="1">
      <alignment horizontal="left" vertical="center"/>
      <protection locked="0"/>
    </xf>
    <xf numFmtId="0" fontId="12" fillId="4" borderId="1" xfId="0" applyFont="1" applyFill="1" applyBorder="1" applyAlignment="1" applyProtection="1">
      <alignment horizontal="center" vertical="center"/>
      <protection locked="0"/>
    </xf>
    <xf numFmtId="0" fontId="8" fillId="4" borderId="1" xfId="0" applyFont="1" applyFill="1" applyBorder="1" applyAlignment="1" applyProtection="1">
      <alignment horizontal="center" vertical="center"/>
      <protection locked="0"/>
    </xf>
    <xf numFmtId="0" fontId="0" fillId="9" borderId="0" xfId="0" applyFill="1" applyProtection="1"/>
    <xf numFmtId="176" fontId="2" fillId="9" borderId="0" xfId="0" applyNumberFormat="1" applyFont="1" applyFill="1" applyProtection="1"/>
    <xf numFmtId="0" fontId="4" fillId="9" borderId="0" xfId="0" applyFont="1" applyFill="1" applyProtection="1"/>
    <xf numFmtId="0" fontId="32" fillId="2" borderId="1" xfId="0" applyFont="1" applyFill="1" applyBorder="1" applyAlignment="1" applyProtection="1">
      <alignment horizontal="center" vertical="center"/>
    </xf>
    <xf numFmtId="0" fontId="0" fillId="0" borderId="2" xfId="0" applyBorder="1" applyProtection="1">
      <protection locked="0"/>
    </xf>
    <xf numFmtId="0" fontId="0" fillId="8" borderId="2" xfId="0" applyFill="1" applyBorder="1" applyProtection="1">
      <protection locked="0"/>
    </xf>
  </cellXfs>
  <cellStyles count="1">
    <cellStyle name="標準" xfId="0" builtinId="0"/>
  </cellStyles>
  <dxfs count="4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B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651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5474C22-2F0C-4422-AB46-B80B8DC57F6C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beb1664f-172f-452f-b41f-cfb9d20dbb07&quot;"/>
  </we:properties>
  <we:bindings/>
  <we:snapshot xmlns:r="http://schemas.openxmlformats.org/officeDocument/2006/relationships"/>
</we:webextension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3"/>
  <sheetViews>
    <sheetView showGridLines="0" tabSelected="1" topLeftCell="A4" zoomScaleNormal="100" workbookViewId="0">
      <selection activeCell="H25" sqref="H25"/>
    </sheetView>
  </sheetViews>
  <sheetFormatPr defaultColWidth="8.73046875" defaultRowHeight="14.25"/>
  <cols>
    <col min="1" max="1" width="4" style="67" customWidth="1"/>
    <col min="2" max="2" width="16" style="67" customWidth="1"/>
    <col min="3" max="3" width="14" style="67" customWidth="1"/>
    <col min="4" max="4" width="12.33203125" style="67" customWidth="1"/>
    <col min="5" max="5" width="14" style="67" customWidth="1"/>
    <col min="6" max="6" width="9.53125" style="67" customWidth="1"/>
    <col min="7" max="8" width="14" style="67" customWidth="1"/>
    <col min="9" max="9" width="4" style="67" customWidth="1"/>
    <col min="10" max="15" width="8.73046875" style="67"/>
    <col min="16" max="17" width="13" style="67" hidden="1" customWidth="1"/>
    <col min="18" max="16384" width="8.73046875" style="67"/>
  </cols>
  <sheetData>
    <row r="1" spans="1:16" ht="43.5" customHeight="1">
      <c r="A1" s="31" t="s">
        <v>0</v>
      </c>
      <c r="B1" s="31"/>
      <c r="C1" s="31"/>
      <c r="D1" s="31"/>
      <c r="E1" s="31"/>
      <c r="F1" s="31"/>
      <c r="G1" s="31"/>
      <c r="H1" s="31"/>
      <c r="I1" s="32"/>
      <c r="P1" s="68" t="str">
        <f>IF(D13="","",DATE(D13,F13,H13))</f>
        <v/>
      </c>
    </row>
    <row r="2" spans="1:16" ht="16.5" customHeight="1">
      <c r="A2" s="33" t="s">
        <v>1</v>
      </c>
      <c r="B2" s="33"/>
      <c r="C2" s="33"/>
      <c r="D2" s="33"/>
      <c r="E2" s="33"/>
      <c r="F2" s="33"/>
      <c r="G2" s="33"/>
      <c r="H2" s="33"/>
      <c r="I2" s="32"/>
      <c r="P2" s="68" t="str">
        <f>IF($P$1="","",EDATE($P$1,3))</f>
        <v/>
      </c>
    </row>
    <row r="3" spans="1:16" ht="16.5" customHeight="1">
      <c r="A3" s="32"/>
      <c r="B3" s="32"/>
      <c r="C3" s="32"/>
      <c r="D3" s="32"/>
      <c r="E3" s="32"/>
      <c r="F3" s="32"/>
      <c r="G3" s="32"/>
      <c r="H3" s="32"/>
      <c r="I3" s="32"/>
      <c r="P3" s="69">
        <f>IF(B24&lt;&gt;"","（１）","")&amp;IF(B25&lt;&gt;"","（２）","")&amp;IF(B26&lt;&gt;"","（３）","")&amp;IF(B27&lt;&gt;"","（４）","")&amp;IF(B28&lt;&gt;"","（５）","")&amp;IF(B29&lt;&gt;"","（６）","")&amp;IF(B30&lt;&gt;"","（７）","")&amp;IF(B31&lt;&gt;"","（８）","")&amp;IF(B32&lt;&gt;"","（９）","")&amp;IF(B33&lt;&gt;"","（１０）","")</f>
      </c>
    </row>
    <row r="4" spans="1:16" ht="16.5" customHeight="1">
      <c r="A4" s="34" t="s">
        <v>2</v>
      </c>
      <c r="B4" s="34"/>
      <c r="C4" s="34"/>
      <c r="D4" s="34"/>
      <c r="E4" s="34"/>
      <c r="F4" s="34"/>
      <c r="G4" s="34"/>
      <c r="H4" s="34"/>
      <c r="I4" s="32"/>
      <c r="P4" s="69">
        <f>SUM(I24:I33)</f>
      </c>
    </row>
    <row r="5" spans="1:16" ht="16.5" customHeight="1">
      <c r="A5" s="35" t="s">
        <v>3</v>
      </c>
      <c r="B5" s="35"/>
      <c r="C5" s="35"/>
      <c r="D5" s="36" t="s">
        <v>4</v>
      </c>
      <c r="E5" s="55"/>
      <c r="F5" s="55"/>
      <c r="G5" s="36" t="s">
        <v>6</v>
      </c>
      <c r="H5" s="56"/>
      <c r="I5" s="32"/>
    </row>
    <row r="6" spans="1:16" ht="16.5" customHeight="1">
      <c r="A6" s="35" t="s">
        <v>8</v>
      </c>
      <c r="B6" s="35"/>
      <c r="C6" s="35"/>
      <c r="D6" s="36" t="s">
        <v>9</v>
      </c>
      <c r="E6" s="57"/>
      <c r="F6" s="55"/>
      <c r="G6" s="36" t="s">
        <v>10</v>
      </c>
      <c r="H6" s="56"/>
      <c r="I6" s="32"/>
    </row>
    <row r="7" spans="1:16" ht="16.5" customHeight="1">
      <c r="A7" s="35" t="s">
        <v>11</v>
      </c>
      <c r="B7" s="35"/>
      <c r="C7" s="35"/>
      <c r="D7" s="58"/>
      <c r="E7" s="37" t="s">
        <v>12</v>
      </c>
      <c r="F7" s="58"/>
      <c r="G7" s="37" t="s">
        <v>13</v>
      </c>
      <c r="H7" s="58"/>
      <c r="I7" s="37" t="s">
        <v>14</v>
      </c>
    </row>
    <row r="8" spans="1:16" ht="16.5" customHeight="1">
      <c r="A8" s="38" t="s">
        <v>15</v>
      </c>
      <c r="B8" s="38"/>
      <c r="C8" s="38"/>
      <c r="D8" s="59"/>
      <c r="E8" s="36" t="s">
        <v>16</v>
      </c>
      <c r="F8" s="60"/>
      <c r="G8" s="60"/>
      <c r="H8" s="60"/>
      <c r="I8" s="32"/>
    </row>
    <row r="9" spans="1:16" ht="16.5" customHeight="1">
      <c r="A9" s="35" t="s">
        <v>18</v>
      </c>
      <c r="B9" s="35"/>
      <c r="C9" s="35"/>
      <c r="D9" s="70" t="s">
        <v>672</v>
      </c>
      <c r="E9" s="55"/>
      <c r="F9" s="55"/>
      <c r="G9" s="36" t="s">
        <v>6</v>
      </c>
      <c r="H9" s="59"/>
      <c r="I9" s="32"/>
    </row>
    <row r="10" spans="1:16" ht="16.5" customHeight="1">
      <c r="A10" s="39" t="s">
        <v>19</v>
      </c>
      <c r="B10" s="39"/>
      <c r="C10" s="39"/>
      <c r="D10" s="39"/>
      <c r="E10" s="39"/>
      <c r="F10" s="39"/>
      <c r="G10" s="39"/>
      <c r="H10" s="39"/>
      <c r="I10" s="32"/>
    </row>
    <row r="11" spans="1:16" ht="15" customHeight="1">
      <c r="A11" s="38" t="s">
        <v>20</v>
      </c>
      <c r="B11" s="38"/>
      <c r="C11" s="36" t="s">
        <v>21</v>
      </c>
      <c r="D11" s="61"/>
      <c r="E11" s="61"/>
      <c r="F11" s="61"/>
      <c r="G11" s="40"/>
      <c r="H11" s="41"/>
      <c r="I11" s="32"/>
    </row>
    <row r="12" spans="1:16" ht="16.5" customHeight="1">
      <c r="A12" s="38" t="s">
        <v>22</v>
      </c>
      <c r="B12" s="38"/>
      <c r="C12" s="32"/>
      <c r="D12" s="61"/>
      <c r="E12" s="61"/>
      <c r="F12" s="61"/>
      <c r="G12" s="40"/>
      <c r="H12" s="41"/>
      <c r="I12" s="32"/>
    </row>
    <row r="13" spans="1:16" ht="16.5" customHeight="1">
      <c r="A13" s="35" t="s">
        <v>23</v>
      </c>
      <c r="B13" s="35"/>
      <c r="C13" s="35"/>
      <c r="D13" s="62"/>
      <c r="E13" s="42" t="s">
        <v>668</v>
      </c>
      <c r="F13" s="62"/>
      <c r="G13" s="42" t="s">
        <v>669</v>
      </c>
      <c r="H13" s="62"/>
      <c r="I13" s="32"/>
    </row>
    <row r="14" spans="1:16" ht="15" customHeight="1">
      <c r="A14" s="43" t="s">
        <v>24</v>
      </c>
      <c r="B14" s="43"/>
      <c r="C14" s="43"/>
      <c r="D14" s="43"/>
      <c r="E14" s="43"/>
      <c r="F14" s="43"/>
      <c r="G14" s="43"/>
      <c r="H14" s="43"/>
      <c r="I14" s="43"/>
    </row>
    <row r="15" spans="1:16" ht="16.5" customHeight="1">
      <c r="A15" s="35" t="s">
        <v>25</v>
      </c>
      <c r="B15" s="35"/>
      <c r="C15" s="35"/>
      <c r="D15" s="36" t="s">
        <v>4</v>
      </c>
      <c r="E15" s="57"/>
      <c r="F15" s="55"/>
      <c r="G15" s="36" t="s">
        <v>6</v>
      </c>
      <c r="H15" s="56"/>
      <c r="I15" s="32"/>
    </row>
    <row r="16" spans="1:16" ht="15" customHeight="1">
      <c r="A16" s="32"/>
      <c r="B16" s="32"/>
      <c r="C16" s="32"/>
      <c r="D16" s="32"/>
      <c r="E16" s="32"/>
      <c r="F16" s="32"/>
      <c r="G16" s="32"/>
      <c r="H16" s="32"/>
      <c r="I16" s="32"/>
    </row>
    <row r="17" spans="1:17" ht="15" customHeight="1">
      <c r="A17" s="34" t="s">
        <v>26</v>
      </c>
      <c r="B17" s="34"/>
      <c r="C17" s="34"/>
      <c r="D17" s="34"/>
      <c r="E17" s="34"/>
      <c r="F17" s="34"/>
      <c r="G17" s="34"/>
      <c r="H17" s="34"/>
      <c r="I17" s="32"/>
    </row>
    <row r="18" spans="1:17" ht="18" customHeight="1">
      <c r="A18" s="44" t="s">
        <v>27</v>
      </c>
      <c r="B18" s="44"/>
      <c r="C18" s="44"/>
      <c r="D18" s="63"/>
      <c r="E18" s="72"/>
      <c r="F18" s="72"/>
      <c r="G18" s="72"/>
      <c r="H18" s="72"/>
      <c r="I18" s="32"/>
    </row>
    <row r="19" spans="1:17" ht="18" customHeight="1">
      <c r="A19" s="32"/>
      <c r="B19" s="32"/>
      <c r="C19" s="32"/>
      <c r="D19" s="71"/>
      <c r="E19" s="71"/>
      <c r="F19" s="71"/>
      <c r="G19" s="71"/>
      <c r="H19" s="71"/>
      <c r="I19" s="32"/>
    </row>
    <row r="20" spans="1:17" ht="16.5" customHeight="1">
      <c r="A20" s="35" t="s">
        <v>28</v>
      </c>
      <c r="B20" s="35"/>
      <c r="C20" s="35"/>
      <c r="D20" s="58"/>
      <c r="E20" s="32"/>
      <c r="F20" s="32"/>
      <c r="G20" s="32"/>
      <c r="H20" s="32"/>
      <c r="I20" s="32"/>
    </row>
    <row r="21" spans="1:17" ht="16.5" customHeight="1">
      <c r="A21" s="32"/>
      <c r="B21" s="32"/>
      <c r="C21" s="32"/>
      <c r="D21" s="32"/>
      <c r="E21" s="32"/>
      <c r="F21" s="32"/>
      <c r="G21" s="32"/>
      <c r="H21" s="32"/>
      <c r="I21" s="32"/>
    </row>
    <row r="22" spans="1:17" ht="16.5" customHeight="1">
      <c r="A22" s="34" t="s">
        <v>667</v>
      </c>
      <c r="B22" s="34"/>
      <c r="C22" s="34"/>
      <c r="D22" s="34"/>
      <c r="E22" s="34"/>
      <c r="F22" s="34"/>
      <c r="G22" s="34"/>
      <c r="H22" s="34"/>
      <c r="I22" s="34"/>
    </row>
    <row r="23" spans="1:17" ht="27.75" customHeight="1">
      <c r="A23" s="45" t="s">
        <v>29</v>
      </c>
      <c r="B23" s="46" t="s">
        <v>30</v>
      </c>
      <c r="C23" s="46" t="s">
        <v>31</v>
      </c>
      <c r="D23" s="46" t="s">
        <v>666</v>
      </c>
      <c r="E23" s="47" t="s">
        <v>33</v>
      </c>
      <c r="F23" s="47" t="s">
        <v>34</v>
      </c>
      <c r="G23" s="47" t="s">
        <v>35</v>
      </c>
      <c r="H23" s="47" t="s">
        <v>36</v>
      </c>
      <c r="I23" s="47" t="s">
        <v>37</v>
      </c>
    </row>
    <row r="24" spans="1:17" ht="16.5" customHeight="1">
      <c r="A24" s="48">
        <v>1</v>
      </c>
      <c r="B24" s="59"/>
      <c r="C24" s="59"/>
      <c r="D24" s="64"/>
      <c r="E24" s="65"/>
      <c r="F24" s="66"/>
      <c r="G24" s="49">
        <f t="shared" ref="G24:G33" si="0">IF(OR(D24="",E24="",F24=""),"",(IFERROR(VALUE(LEFT(SUBSTITUTE(D24,"Ｘ","X"),SEARCH("X",SUBSTITUTE(D24,"Ｘ","X"))-1)),1))*E24&amp;F24)</f>
      </c>
      <c r="H24" s="66"/>
      <c r="I24" s="65"/>
      <c r="Q24" s="69">
        <f>IF(B24="","","（1）"&amp;B24&amp;C24&amp;"　"&amp;G24&amp;"　"&amp;D24)</f>
      </c>
    </row>
    <row r="25" spans="1:17" ht="16.5" customHeight="1">
      <c r="A25" s="48">
        <v>2</v>
      </c>
      <c r="B25" s="59"/>
      <c r="C25" s="59"/>
      <c r="D25" s="59"/>
      <c r="E25" s="65"/>
      <c r="F25" s="66"/>
      <c r="G25" s="49" t="str">
        <f t="shared" si="0"/>
        <v/>
      </c>
      <c r="H25" s="66"/>
      <c r="I25" s="65"/>
      <c r="Q25" s="69" t="str">
        <f>IF(B25="","","（2）"&amp;B25&amp;C25&amp;"　"&amp;G25&amp;"　"&amp;D25)</f>
        <v/>
      </c>
    </row>
    <row r="26" spans="1:17" ht="16.5" customHeight="1">
      <c r="A26" s="48">
        <v>3</v>
      </c>
      <c r="B26" s="59"/>
      <c r="C26" s="59"/>
      <c r="D26" s="59"/>
      <c r="E26" s="65"/>
      <c r="F26" s="66"/>
      <c r="G26" s="49" t="str">
        <f t="shared" si="0"/>
        <v/>
      </c>
      <c r="H26" s="66"/>
      <c r="I26" s="65"/>
      <c r="Q26" s="69" t="str">
        <f>IF(B26="","","（3）"&amp;B26&amp;C26&amp;"　"&amp;G26&amp;"　"&amp;D26)</f>
        <v/>
      </c>
    </row>
    <row r="27" spans="1:17" ht="16.5" customHeight="1">
      <c r="A27" s="48">
        <v>4</v>
      </c>
      <c r="B27" s="59"/>
      <c r="C27" s="59"/>
      <c r="D27" s="59"/>
      <c r="E27" s="65"/>
      <c r="F27" s="66"/>
      <c r="G27" s="49" t="str">
        <f t="shared" si="0"/>
        <v/>
      </c>
      <c r="H27" s="66"/>
      <c r="I27" s="65"/>
      <c r="Q27" s="69" t="str">
        <f>IF(B27="","","（4）"&amp;B27&amp;C27&amp;"　"&amp;G27&amp;"　"&amp;D27)</f>
        <v/>
      </c>
    </row>
    <row r="28" spans="1:17" ht="16.5" customHeight="1">
      <c r="A28" s="48">
        <v>5</v>
      </c>
      <c r="B28" s="59"/>
      <c r="C28" s="59"/>
      <c r="D28" s="59"/>
      <c r="E28" s="65"/>
      <c r="F28" s="66"/>
      <c r="G28" s="49" t="str">
        <f t="shared" si="0"/>
        <v/>
      </c>
      <c r="H28" s="66"/>
      <c r="I28" s="65"/>
      <c r="Q28" s="69" t="str">
        <f>IF(B28="","","（5）"&amp;B28&amp;C28&amp;"　"&amp;G28&amp;"　"&amp;D28)</f>
        <v/>
      </c>
    </row>
    <row r="29" spans="1:17" ht="16.5" customHeight="1">
      <c r="A29" s="48">
        <v>6</v>
      </c>
      <c r="B29" s="59"/>
      <c r="C29" s="59"/>
      <c r="D29" s="59"/>
      <c r="E29" s="65"/>
      <c r="F29" s="66"/>
      <c r="G29" s="49" t="str">
        <f t="shared" si="0"/>
        <v/>
      </c>
      <c r="H29" s="66"/>
      <c r="I29" s="65"/>
      <c r="Q29" s="69" t="str">
        <f>IF(B29="","","（6）"&amp;B29&amp;C29&amp;"　"&amp;G29&amp;"　"&amp;D29)</f>
        <v/>
      </c>
    </row>
    <row r="30" spans="1:17" ht="16.5" customHeight="1">
      <c r="A30" s="48">
        <v>7</v>
      </c>
      <c r="B30" s="59"/>
      <c r="C30" s="59"/>
      <c r="D30" s="59"/>
      <c r="E30" s="65"/>
      <c r="F30" s="66"/>
      <c r="G30" s="49" t="str">
        <f t="shared" si="0"/>
        <v/>
      </c>
      <c r="H30" s="66"/>
      <c r="I30" s="65"/>
      <c r="Q30" s="69" t="str">
        <f>IF(B30="","","（7）"&amp;B30&amp;C30&amp;"　"&amp;G30&amp;"　"&amp;D30)</f>
        <v/>
      </c>
    </row>
    <row r="31" spans="1:17" ht="16.5" customHeight="1">
      <c r="A31" s="48">
        <v>8</v>
      </c>
      <c r="B31" s="59"/>
      <c r="C31" s="59"/>
      <c r="D31" s="59"/>
      <c r="E31" s="65"/>
      <c r="F31" s="66"/>
      <c r="G31" s="49" t="str">
        <f t="shared" si="0"/>
        <v/>
      </c>
      <c r="H31" s="66"/>
      <c r="I31" s="65"/>
      <c r="Q31" s="69" t="str">
        <f>IF(B31="","","（8）"&amp;B31&amp;C31&amp;"　"&amp;G31&amp;"　"&amp;D31)</f>
        <v/>
      </c>
    </row>
    <row r="32" spans="1:17" ht="16.5" customHeight="1">
      <c r="A32" s="48">
        <v>9</v>
      </c>
      <c r="B32" s="59"/>
      <c r="C32" s="59"/>
      <c r="D32" s="59"/>
      <c r="E32" s="65"/>
      <c r="F32" s="66"/>
      <c r="G32" s="49" t="str">
        <f t="shared" si="0"/>
        <v/>
      </c>
      <c r="H32" s="66"/>
      <c r="I32" s="65"/>
      <c r="Q32" s="69" t="str">
        <f>IF(B32="","","（9）"&amp;B32&amp;C32&amp;"　"&amp;G32&amp;"　"&amp;D32)</f>
        <v/>
      </c>
    </row>
    <row r="33" spans="1:17" ht="16.5" customHeight="1">
      <c r="A33" s="48">
        <v>10</v>
      </c>
      <c r="B33" s="59"/>
      <c r="C33" s="59"/>
      <c r="D33" s="59"/>
      <c r="E33" s="65"/>
      <c r="F33" s="66"/>
      <c r="G33" s="49" t="str">
        <f t="shared" si="0"/>
        <v/>
      </c>
      <c r="H33" s="66"/>
      <c r="I33" s="65"/>
      <c r="Q33" s="69" t="str">
        <f>IF(B33="","","（10）"&amp;B33&amp;C33&amp;"　"&amp;G33&amp;"　"&amp;D33)</f>
        <v/>
      </c>
    </row>
    <row r="34" spans="1:17" ht="15" customHeight="1">
      <c r="A34" s="32"/>
      <c r="B34" s="32"/>
      <c r="C34" s="32"/>
      <c r="D34" s="32"/>
      <c r="E34" s="32"/>
      <c r="F34" s="32"/>
      <c r="G34" s="32"/>
      <c r="H34" s="32"/>
      <c r="I34" s="32"/>
    </row>
    <row r="35" spans="1:17" ht="15" customHeight="1">
      <c r="A35" s="34" t="s">
        <v>40</v>
      </c>
      <c r="B35" s="34"/>
      <c r="C35" s="34"/>
      <c r="D35" s="34"/>
      <c r="E35" s="34"/>
      <c r="F35" s="34"/>
      <c r="G35" s="34"/>
      <c r="H35" s="34"/>
      <c r="I35" s="32"/>
    </row>
    <row r="36" spans="1:17" ht="15" customHeight="1">
      <c r="A36" s="50" t="s">
        <v>41</v>
      </c>
      <c r="B36" s="50"/>
      <c r="C36" s="50"/>
      <c r="D36" s="50"/>
      <c r="E36" s="51">
        <f>IF(AND(E5&lt;&gt;"",H5&lt;&gt;"",D7&lt;&gt;"",E9&lt;&gt;"",H9&lt;&gt;"",D13&lt;&gt;"",D8&lt;&gt;"",D11&lt;&gt;"",D12&lt;&gt;""),"OK","未入力あり（患者氏名／生年月日／発行日／職員コード／職員氏名／患者所属／医務官所属を確認）")</f>
      </c>
      <c r="F36" s="51"/>
      <c r="G36" s="51"/>
      <c r="H36" s="51"/>
      <c r="I36" s="32"/>
    </row>
    <row r="37" spans="1:17" ht="15.75" customHeight="1">
      <c r="A37" s="50" t="s">
        <v>42</v>
      </c>
      <c r="B37" s="50"/>
      <c r="C37" s="50"/>
      <c r="D37" s="50"/>
      <c r="E37" s="51">
        <f ca="1">IF($P$1="","未入力（発行日）",IF(TODAY()&lt;=$P$2,"OK（有効期限："&amp;TEXT($P$2,"yyyy/mm/dd")&amp;"）","期限切れ（有効期限："&amp;TEXT($P$2,"yyyy/mm/dd")&amp;"）"))</f>
      </c>
      <c r="F37" s="51"/>
      <c r="G37" s="51"/>
      <c r="H37" s="51"/>
      <c r="I37" s="32"/>
    </row>
    <row r="38" spans="1:17" ht="15.75" customHeight="1">
      <c r="A38" s="50" t="s">
        <v>43</v>
      </c>
      <c r="B38" s="50"/>
      <c r="C38" s="50"/>
      <c r="D38" s="50"/>
      <c r="E38" s="51">
        <f>IF(COUNTA(B24:B33)&gt;0,"OK","未入力（薬品が1件も入力されていません）")</f>
      </c>
      <c r="F38" s="51"/>
      <c r="G38" s="51"/>
      <c r="H38" s="51"/>
      <c r="I38" s="32"/>
    </row>
    <row r="39" spans="1:17" ht="15" customHeight="1">
      <c r="A39" s="50" t="s">
        <v>44</v>
      </c>
      <c r="B39" s="50"/>
      <c r="C39" s="50"/>
      <c r="D39" s="50"/>
      <c r="E39" s="51">
        <f>IF(SUMPRODUCT((B24:B33&lt;&gt;"")*((C24:C33="")+(D24:D33="")+(E24:E33="")+(F24:F33="")+(I24:I33="")))=0,"OK","入力漏れあり（含有量／用法用量／用量／単位／処方日数を確認）")</f>
      </c>
      <c r="F39" s="51"/>
      <c r="G39" s="51"/>
      <c r="H39" s="51"/>
      <c r="I39" s="32"/>
    </row>
    <row r="40" spans="1:17" ht="15" customHeight="1">
      <c r="A40" s="50" t="s">
        <v>45</v>
      </c>
      <c r="B40" s="50"/>
      <c r="C40" s="50"/>
      <c r="D40" s="50"/>
      <c r="E40" s="51">
        <f>IF(COUNTIF(H24:H33,"液体")+COUNTIF(H24:H33,"軟膏")+COUNTIF(H24:H33,"スプレー式")+COUNTIF(H24:H33,"坐薬")+COUNTIF(H24:H33,"冷所品")=0,"OK","購送不可の剤形あり（液体／軟膏／スプレー式／坐薬／冷所品は購送不可。吸入薬はガス不使用の喘息用に限り購送可）")</f>
      </c>
      <c r="F40" s="51"/>
      <c r="G40" s="51"/>
      <c r="H40" s="51"/>
      <c r="I40" s="32"/>
    </row>
    <row r="41" spans="1:17" ht="15" customHeight="1">
      <c r="A41" s="52" t="s">
        <v>46</v>
      </c>
      <c r="B41" s="52"/>
      <c r="C41" s="52"/>
      <c r="D41" s="52"/>
      <c r="E41" s="53" t="s">
        <v>47</v>
      </c>
      <c r="F41" s="53"/>
      <c r="G41" s="53"/>
      <c r="H41" s="53"/>
      <c r="I41" s="32"/>
    </row>
    <row r="42" spans="1:17" ht="21.75" customHeight="1">
      <c r="A42" s="32"/>
      <c r="B42" s="32"/>
      <c r="C42" s="32"/>
      <c r="D42" s="32"/>
      <c r="E42" s="32"/>
      <c r="F42" s="32"/>
      <c r="G42" s="32"/>
      <c r="H42" s="32"/>
      <c r="I42" s="32"/>
    </row>
    <row r="43" spans="1:17" ht="21.75" customHeight="1">
      <c r="A43" s="54">
        <f ca="1">IF(COUNTIF(E36:E40,"OK*")=5,"✅　自動チェック5項目すべてクリア（⑥署名は別途ご確認ください）","⚠　要確認項目があります（上記①〜⑤をご確認ください）")</f>
      </c>
      <c r="B43" s="54"/>
      <c r="C43" s="54"/>
      <c r="D43" s="54"/>
      <c r="E43" s="54"/>
      <c r="F43" s="54"/>
      <c r="G43" s="54"/>
      <c r="H43" s="54"/>
      <c r="I43" s="32"/>
    </row>
  </sheetData>
  <sheetProtection sheet="1" objects="1" scenarios="1" selectLockedCells="1"/>
  <mergeCells count="40">
    <mergeCell ref="A41:D41"/>
    <mergeCell ref="E41:H41"/>
    <mergeCell ref="A43:H43"/>
    <mergeCell ref="A38:D38"/>
    <mergeCell ref="E38:H38"/>
    <mergeCell ref="A39:D39"/>
    <mergeCell ref="E39:H39"/>
    <mergeCell ref="A40:D40"/>
    <mergeCell ref="E40:H40"/>
    <mergeCell ref="A35:H35"/>
    <mergeCell ref="A36:D36"/>
    <mergeCell ref="E36:H36"/>
    <mergeCell ref="A37:D37"/>
    <mergeCell ref="E37:H37"/>
    <mergeCell ref="A17:H17"/>
    <mergeCell ref="A18:C18"/>
    <mergeCell ref="D18:H19"/>
    <mergeCell ref="A20:C20"/>
    <mergeCell ref="A22:I22"/>
    <mergeCell ref="A12:B12"/>
    <mergeCell ref="D12:F12"/>
    <mergeCell ref="A13:C13"/>
    <mergeCell ref="A14:I14"/>
    <mergeCell ref="A15:C15"/>
    <mergeCell ref="E15:F15"/>
    <mergeCell ref="A9:C9"/>
    <mergeCell ref="E9:F9"/>
    <mergeCell ref="A10:H10"/>
    <mergeCell ref="A11:B11"/>
    <mergeCell ref="D11:F11"/>
    <mergeCell ref="A6:C6"/>
    <mergeCell ref="E6:F6"/>
    <mergeCell ref="A7:C7"/>
    <mergeCell ref="A8:C8"/>
    <mergeCell ref="F8:H8"/>
    <mergeCell ref="A1:H1"/>
    <mergeCell ref="A2:H2"/>
    <mergeCell ref="A4:H4"/>
    <mergeCell ref="A5:C5"/>
    <mergeCell ref="E5:F5"/>
  </mergeCells>
  <phoneticPr fontId="26"/>
  <conditionalFormatting sqref="A42:H42">
    <cfRule type="expression" dxfId="3" priority="4">
      <formula>LEFT(A42,1)="✅"</formula>
    </cfRule>
    <cfRule type="expression" dxfId="2" priority="5">
      <formula>LEFT(A42,1)="⚠"</formula>
    </cfRule>
  </conditionalFormatting>
  <conditionalFormatting sqref="E35:E39">
    <cfRule type="expression" dxfId="1" priority="2">
      <formula>LEFT(E35,2)="OK"</formula>
    </cfRule>
    <cfRule type="expression" dxfId="0" priority="3">
      <formula>LEFT(E35,2)&lt;&gt;"OK"</formula>
    </cfRule>
  </conditionalFormatting>
  <dataValidations count="5">
    <dataValidation type="list" allowBlank="1" sqref="D20" xr:uid="{00000000-0002-0000-0000-000000000000}">
      <formula1>"不可"</formula1>
      <formula2>0</formula2>
    </dataValidation>
    <dataValidation type="list" allowBlank="1" showErrorMessage="1" errorTitle="続柄" error="リストから選択してください" promptTitle="続柄を選択" prompt="本人以外の場合は続柄を選択してください（診断書・指示書の職員コード欄に自動で併記されます）" sqref="F8" xr:uid="{00000000-0002-0000-0000-000003000000}">
      <formula1>"本人,配偶者,子,父,母,その他"</formula1>
      <formula2>0</formula2>
    </dataValidation>
    <dataValidation type="list" allowBlank="1" showErrorMessage="1" errorTitle="剤形" error="リストから選択してください" promptTitle="剤形を選択" prompt="喘息用の吸入薬はガス不使用のものに限り購送可能です。液体・軟膏・スプレー式・坐薬・冷所品は購送不可です。" sqref="H24:H33" xr:uid="{00000000-0002-0000-0000-000004000000}">
      <formula1>"錠剤,顆粒,粉末,貼り薬（湿布薬）,吸入薬（ガス不使用・喘息用）,液体,軟膏,スプレー式,坐薬,冷所品"</formula1>
      <formula2>0</formula2>
    </dataValidation>
    <dataValidation type="list" allowBlank="1" showErrorMessage="1" errorTitle="単位" error="リストから選択してください" promptTitle="単位を選択" prompt="1回あたりの用量の単位を選択してください（例：1錠、2カプセル）" sqref="F24:F33" xr:uid="{00000000-0002-0000-0000-000005000000}">
      <formula1>"錠,カプセル,包,枚,mL,g,滴,その他"</formula1>
      <formula2>0</formula2>
    </dataValidation>
    <dataValidation type="list" errorStyle="warning" allowBlank="1" showInputMessage="1" showErrorMessage="1" errorTitle="発行日（年）" error="発行日の西暦年を一覧から選択してください。" sqref="D13" xr:uid="{1065D682-D861-41BA-B065-0A2B3CD4C2EB}">
      <formula1>"2024,2025,2026,2027,2028,2029,2030,2031,2032,2033,2034,2035"</formula1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errorStyle="warning" allowBlank="1" showErrorMessage="1" errorTitle="コード確認" error="一覧にないコードです。一覧表（プルダウン）から選択することをおすすめします。" promptTitle="患者所属：在外公館コード" prompt="▼をクリックすると在外公館コード＋公館名の一覧表が表示されます。該当する公館を選択してください。" xr:uid="{00000000-0002-0000-0000-000001000000}">
          <x14:formula1>
            <xm:f>在外公館リスト!$C$4:$C$265</xm:f>
          </x14:formula1>
          <x14:formula2>
            <xm:f>0</xm:f>
          </x14:formula2>
          <xm:sqref>D11</xm:sqref>
        </x14:dataValidation>
        <x14:dataValidation type="list" errorStyle="warning" allowBlank="1" showErrorMessage="1" errorTitle="コード確認" error="一覧にないコードです。一覧表（プルダウン）から選択することをおすすめします。" promptTitle="医務官所属：在外公館コード" prompt="▼をクリックすると在外公館コード＋公館名の一覧表が表示されます。該当する公館を選択してください。" xr:uid="{00000000-0002-0000-0000-000002000000}">
          <x14:formula1>
            <xm:f>在外公館リスト!$C$4:$C$265</xm:f>
          </x14:formula1>
          <x14:formula2>
            <xm:f>0</xm:f>
          </x14:formula2>
          <xm:sqref>D12</xm:sqref>
        </x14:dataValidation>
        <x14:dataValidation type="list" errorStyle="warning" allowBlank="1" showInputMessage="1" showErrorMessage="1" errorTitle="用法の選択" error="一覧から用法を選択してください。" xr:uid="{C404BDC2-C0B6-4979-B78B-CE1C3796DB7F}">
          <x14:formula1>
            <xm:f>用法用量マスタ!$A$2:$A$29</xm:f>
          </x14:formula1>
          <xm:sqref>D24:D33</xm:sqref>
        </x14:dataValidation>
        <x14:dataValidation type="list" errorStyle="warning" allowBlank="1" showInputMessage="1" showErrorMessage="1" errorTitle="発行日（月）" error="月を一覧から選択してください。" xr:uid="{54BBD60F-4280-4316-9B25-8D6AC39487C0}">
          <x14:formula1>
            <xm:f>日付選択肢!$C$2:$C$13</xm:f>
          </x14:formula1>
          <xm:sqref>F13</xm:sqref>
        </x14:dataValidation>
        <x14:dataValidation type="list" errorStyle="warning" allowBlank="1" showInputMessage="1" showErrorMessage="1" errorTitle="発行日（日）" error="日を一覧から選択してください。" xr:uid="{847609D0-B822-4C0B-8EA4-AC862878CBF6}">
          <x14:formula1>
            <xm:f>日付選択肢!$D$2:$D$32</xm:f>
          </x14:formula1>
          <xm:sqref>H13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41"/>
  <sheetViews>
    <sheetView showGridLines="0" zoomScaleNormal="100" workbookViewId="0">
      <selection sqref="A1:F1"/>
    </sheetView>
  </sheetViews>
  <sheetFormatPr defaultColWidth="8.73046875" defaultRowHeight="14.25"/>
  <cols>
    <col min="1" max="6" width="14" customWidth="1"/>
  </cols>
  <sheetData>
    <row r="1" spans="1:6" ht="15" customHeight="1">
      <c r="A1" s="10" t="s">
        <v>48</v>
      </c>
      <c r="B1" s="10"/>
      <c r="C1" s="10"/>
      <c r="D1" s="10"/>
      <c r="E1" s="10"/>
      <c r="F1" s="10"/>
    </row>
    <row r="2" spans="1:6" ht="25.5" customHeight="1">
      <c r="A2" s="11" t="s">
        <v>49</v>
      </c>
      <c r="B2" s="11"/>
      <c r="C2" s="11"/>
      <c r="D2" s="11"/>
      <c r="E2" s="11"/>
      <c r="F2" s="11"/>
    </row>
    <row r="3" spans="1:6" ht="6" customHeight="1"/>
    <row r="4" spans="1:6" ht="16.5" customHeight="1">
      <c r="A4" s="12" t="s">
        <v>50</v>
      </c>
      <c r="B4" s="12"/>
      <c r="C4" s="13">
        <f>入力!E5&amp;"　"&amp;入力!H5</f>
      </c>
      <c r="D4" s="13"/>
      <c r="E4" s="13"/>
      <c r="F4" s="13"/>
    </row>
    <row r="5" spans="1:6" ht="16.5" customHeight="1">
      <c r="A5" s="12" t="s">
        <v>51</v>
      </c>
      <c r="B5" s="12"/>
      <c r="C5" s="13">
        <f>IF(OR(入力!F8="",入力!F8="本人"),入力!D8,入力!D8&amp;"（"&amp;入力!F8&amp;"）")</f>
      </c>
      <c r="D5" s="13"/>
      <c r="E5" s="13"/>
      <c r="F5" s="13"/>
    </row>
    <row r="6" spans="1:6" ht="12.75" customHeight="1">
      <c r="A6" s="14" t="s">
        <v>52</v>
      </c>
      <c r="B6" s="14"/>
      <c r="C6" s="14"/>
      <c r="D6" s="14"/>
      <c r="E6" s="14"/>
      <c r="F6" s="14"/>
    </row>
    <row r="7" spans="1:6" ht="16.5" customHeight="1">
      <c r="A7" s="12" t="s">
        <v>53</v>
      </c>
      <c r="B7" s="12"/>
      <c r="C7" s="13">
        <f>IF(入力!D7="","",入力!D7&amp;"年"&amp;入力!F7&amp;"月"&amp;入力!H7&amp;"日")</f>
      </c>
      <c r="D7" s="13"/>
      <c r="E7" s="13"/>
      <c r="F7" s="13"/>
    </row>
    <row r="8" spans="1:6" ht="16.5" customHeight="1">
      <c r="A8" s="12" t="s">
        <v>54</v>
      </c>
      <c r="B8" s="12"/>
      <c r="C8" s="13">
        <f>IF(入力!D11="","",IFERROR(MID(入力!D11,FIND("　",入力!D11)+1,LEN(入力!D11)),IFERROR(VLOOKUP(入力!D11,在外公館リスト,2,FALSE()),"該当コードなし")))</f>
      </c>
      <c r="D8" s="13"/>
      <c r="E8" s="13"/>
      <c r="F8" s="13"/>
    </row>
    <row r="9" spans="1:6" ht="6" customHeight="1"/>
    <row r="10" spans="1:6" ht="15" customHeight="1">
      <c r="A10" s="12" t="s">
        <v>55</v>
      </c>
      <c r="B10" s="12"/>
      <c r="C10" s="12"/>
      <c r="D10" s="12"/>
      <c r="E10" s="12"/>
      <c r="F10" s="12"/>
    </row>
    <row r="11" spans="1:6" ht="18" customHeight="1">
      <c r="A11" s="15">
        <f>入力!D18</f>
      </c>
      <c r="B11" s="15"/>
      <c r="C11" s="15"/>
      <c r="D11" s="15"/>
      <c r="E11" s="15"/>
      <c r="F11" s="15"/>
    </row>
    <row r="12" spans="1:6" ht="18" customHeight="1">
      <c r="A12" s="15"/>
      <c r="B12" s="15"/>
      <c r="C12" s="15"/>
      <c r="D12" s="15"/>
      <c r="E12" s="15"/>
      <c r="F12" s="15"/>
    </row>
    <row r="13" spans="1:6" ht="6" customHeight="1"/>
    <row r="14" spans="1:6" ht="15" customHeight="1">
      <c r="A14" s="12" t="s">
        <v>56</v>
      </c>
      <c r="B14" s="12"/>
      <c r="C14" s="12"/>
      <c r="D14" s="12"/>
      <c r="E14" s="12"/>
      <c r="F14" s="12"/>
    </row>
    <row r="15" spans="1:6" ht="15" customHeight="1">
      <c r="A15" s="16">
        <f>入力!Q24</f>
      </c>
      <c r="B15" s="16"/>
      <c r="C15" s="16"/>
      <c r="D15" s="16"/>
      <c r="E15" s="16"/>
      <c r="F15" s="16"/>
    </row>
    <row r="16" spans="1:6" ht="15" customHeight="1">
      <c r="A16" s="16" t="str">
        <f>入力!Q25</f>
        <v/>
      </c>
      <c r="B16" s="16"/>
      <c r="C16" s="16"/>
      <c r="D16" s="16"/>
      <c r="E16" s="16"/>
      <c r="F16" s="16"/>
    </row>
    <row r="17" spans="1:6" ht="15" customHeight="1">
      <c r="A17" s="16" t="str">
        <f>入力!Q26</f>
        <v/>
      </c>
      <c r="B17" s="16"/>
      <c r="C17" s="16"/>
      <c r="D17" s="16"/>
      <c r="E17" s="16"/>
      <c r="F17" s="16"/>
    </row>
    <row r="18" spans="1:6" ht="15" customHeight="1">
      <c r="A18" s="16" t="str">
        <f>入力!Q27</f>
        <v/>
      </c>
      <c r="B18" s="16"/>
      <c r="C18" s="16"/>
      <c r="D18" s="16"/>
      <c r="E18" s="16"/>
      <c r="F18" s="16"/>
    </row>
    <row r="19" spans="1:6" ht="15" customHeight="1">
      <c r="A19" s="16" t="str">
        <f>入力!Q28</f>
        <v/>
      </c>
      <c r="B19" s="16"/>
      <c r="C19" s="16"/>
      <c r="D19" s="16"/>
      <c r="E19" s="16"/>
      <c r="F19" s="16"/>
    </row>
    <row r="20" spans="1:6" ht="15" customHeight="1">
      <c r="A20" s="16" t="str">
        <f>入力!Q29</f>
        <v/>
      </c>
      <c r="B20" s="16"/>
      <c r="C20" s="16"/>
      <c r="D20" s="16"/>
      <c r="E20" s="16"/>
      <c r="F20" s="16"/>
    </row>
    <row r="21" spans="1:6" ht="15" customHeight="1">
      <c r="A21" s="16" t="str">
        <f>入力!Q30</f>
        <v/>
      </c>
      <c r="B21" s="16"/>
      <c r="C21" s="16"/>
      <c r="D21" s="16"/>
      <c r="E21" s="16"/>
      <c r="F21" s="16"/>
    </row>
    <row r="22" spans="1:6" ht="15" customHeight="1">
      <c r="A22" s="16" t="str">
        <f>入力!Q31</f>
        <v/>
      </c>
      <c r="B22" s="16"/>
      <c r="C22" s="16"/>
      <c r="D22" s="16"/>
      <c r="E22" s="16"/>
      <c r="F22" s="16"/>
    </row>
    <row r="23" spans="1:6" ht="15" customHeight="1">
      <c r="A23" s="16" t="str">
        <f>入力!Q32</f>
        <v/>
      </c>
      <c r="B23" s="16"/>
      <c r="C23" s="16"/>
      <c r="D23" s="16"/>
      <c r="E23" s="16"/>
      <c r="F23" s="16"/>
    </row>
    <row r="24" spans="1:6" ht="15" customHeight="1">
      <c r="A24" s="16" t="str">
        <f>入力!Q33</f>
        <v/>
      </c>
      <c r="B24" s="16"/>
      <c r="C24" s="16"/>
      <c r="D24" s="16"/>
      <c r="E24" s="16"/>
      <c r="F24" s="16"/>
    </row>
    <row r="25" spans="1:6" ht="6" customHeight="1"/>
    <row r="26" spans="1:6" ht="15.75" customHeight="1">
      <c r="A26" s="17">
        <f>入力!D18&amp;"にて上記２．"&amp;入力!P3&amp;"を服用中であるが、服用にて症状は安定している。今後も上記医薬品の継続投与が必要であるが、成分等含め相当品が任地にて入手が困難であるので、本邦に購送依頼することが必要である。"</f>
      </c>
      <c r="B26" s="17"/>
      <c r="C26" s="17"/>
      <c r="D26" s="17"/>
      <c r="E26" s="17"/>
      <c r="F26" s="17"/>
    </row>
    <row r="27" spans="1:6" ht="15.75" customHeight="1">
      <c r="A27" s="17"/>
      <c r="B27" s="17"/>
      <c r="C27" s="17"/>
      <c r="D27" s="17"/>
      <c r="E27" s="17"/>
      <c r="F27" s="17"/>
    </row>
    <row r="28" spans="1:6" ht="15.75" customHeight="1">
      <c r="A28" s="17"/>
      <c r="B28" s="17"/>
      <c r="C28" s="17"/>
      <c r="D28" s="17"/>
      <c r="E28" s="17"/>
      <c r="F28" s="17"/>
    </row>
    <row r="29" spans="1:6" ht="15.75" customHeight="1">
      <c r="A29" s="17"/>
      <c r="B29" s="17"/>
      <c r="C29" s="17"/>
      <c r="D29" s="17"/>
      <c r="E29" s="17"/>
      <c r="F29" s="17"/>
    </row>
    <row r="31" spans="1:6" ht="15" customHeight="1">
      <c r="A31" s="18">
        <f>IF(入力!D13="","　　　　年　　月　　日",入力!D13&amp;"年"&amp;入力!F13&amp;"月"&amp;入力!H13&amp;"日")</f>
      </c>
      <c r="B31" s="18"/>
      <c r="C31" s="18"/>
      <c r="D31" s="19">
        <f>IF((IF(入力!D12="","",IFERROR(MID(入力!D12,FIND("　",入力!D12)+1,LEN(入力!D12)),IFERROR(VLOOKUP(入力!D12,在外公館リスト,2,FALSE()),"該当コードなし"))))="","在　　　　　　　　　　　　　館",IF(入力!D12="","",IFERROR(MID(入力!D12,FIND("　",入力!D12)+1,LEN(入力!D12)),IFERROR(VLOOKUP(入力!D12,在外公館リスト,2,FALSE()),"該当コードなし"))))</f>
      </c>
      <c r="E31" s="19"/>
      <c r="F31" s="19"/>
    </row>
    <row r="33" spans="1:6" ht="15" customHeight="1">
      <c r="A33" s="18" t="inlineStr">
        <is>
          <t xml:space="preserve">医務官氏名：　　　　　　　　　　　　印</t>
        </is>
      </c>
      <c r="B33" s="18"/>
      <c r="C33" s="18"/>
      <c r="D33" s="20" t="s">
        <v>57</v>
      </c>
      <c r="E33" s="20"/>
      <c r="F33" s="20"/>
    </row>
    <row r="35" spans="1:6" ht="15" customHeight="1">
      <c r="A35" s="21" t="s">
        <v>58</v>
      </c>
      <c r="B35" s="21"/>
      <c r="C35" s="21"/>
      <c r="D35" s="21"/>
      <c r="E35" s="21"/>
      <c r="F35" s="21"/>
    </row>
    <row r="36" spans="1:6" ht="13.5" customHeight="1">
      <c r="A36" s="22" t="s">
        <v>59</v>
      </c>
      <c r="B36" s="22"/>
      <c r="C36" s="22"/>
      <c r="D36" s="22"/>
      <c r="E36" s="22"/>
      <c r="F36" s="22"/>
    </row>
    <row r="37" spans="1:6" ht="13.5" customHeight="1">
      <c r="A37" s="22" t="s">
        <v>60</v>
      </c>
      <c r="B37" s="22"/>
      <c r="C37" s="22"/>
      <c r="D37" s="22"/>
      <c r="E37" s="22"/>
      <c r="F37" s="22"/>
    </row>
    <row r="38" spans="1:6" ht="13.5" customHeight="1">
      <c r="A38" s="22" t="s">
        <v>61</v>
      </c>
      <c r="B38" s="22"/>
      <c r="C38" s="22"/>
      <c r="D38" s="22"/>
      <c r="E38" s="22"/>
      <c r="F38" s="22"/>
    </row>
    <row r="39" spans="1:6" ht="13.5" customHeight="1">
      <c r="A39" s="22" t="s">
        <v>62</v>
      </c>
      <c r="B39" s="22"/>
      <c r="C39" s="22"/>
      <c r="D39" s="22"/>
      <c r="E39" s="22"/>
      <c r="F39" s="22"/>
    </row>
    <row r="40" spans="1:6" ht="13.5" customHeight="1">
      <c r="A40" s="22" t="s">
        <v>63</v>
      </c>
      <c r="B40" s="22"/>
      <c r="C40" s="22"/>
      <c r="D40" s="22"/>
      <c r="E40" s="22"/>
      <c r="F40" s="22"/>
    </row>
    <row r="41" spans="1:6" ht="13.5" customHeight="1">
      <c r="A41" s="23" t="s">
        <v>64</v>
      </c>
      <c r="B41" s="23"/>
      <c r="C41" s="23"/>
      <c r="D41" s="23"/>
      <c r="E41" s="23"/>
      <c r="F41" s="23"/>
    </row>
  </sheetData>
  <sheetProtection sheet="1"/>
  <mergeCells count="36">
    <mergeCell ref="A38:F38"/>
    <mergeCell ref="A39:F39"/>
    <mergeCell ref="A40:F40"/>
    <mergeCell ref="A41:F41"/>
    <mergeCell ref="A33:C33"/>
    <mergeCell ref="D33:F33"/>
    <mergeCell ref="A35:F35"/>
    <mergeCell ref="A36:F36"/>
    <mergeCell ref="A37:F37"/>
    <mergeCell ref="A22:F22"/>
    <mergeCell ref="A23:F23"/>
    <mergeCell ref="A24:F24"/>
    <mergeCell ref="A26:F29"/>
    <mergeCell ref="A31:C31"/>
    <mergeCell ref="D31:F31"/>
    <mergeCell ref="A17:F17"/>
    <mergeCell ref="A18:F18"/>
    <mergeCell ref="A19:F19"/>
    <mergeCell ref="A20:F20"/>
    <mergeCell ref="A21:F21"/>
    <mergeCell ref="A10:F10"/>
    <mergeCell ref="A11:F12"/>
    <mergeCell ref="A14:F14"/>
    <mergeCell ref="A15:F15"/>
    <mergeCell ref="A16:F16"/>
    <mergeCell ref="A6:F6"/>
    <mergeCell ref="A7:B7"/>
    <mergeCell ref="C7:F7"/>
    <mergeCell ref="A8:B8"/>
    <mergeCell ref="C8:F8"/>
    <mergeCell ref="A1:F1"/>
    <mergeCell ref="A2:F2"/>
    <mergeCell ref="A4:B4"/>
    <mergeCell ref="C4:F4"/>
    <mergeCell ref="A5:B5"/>
    <mergeCell ref="C5:F5"/>
  </mergeCells>
  <phoneticPr fontId="26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35"/>
  <sheetViews>
    <sheetView showGridLines="0" zoomScaleNormal="100" workbookViewId="0">
      <selection sqref="A1:F1"/>
    </sheetView>
  </sheetViews>
  <sheetFormatPr defaultColWidth="8.73046875" defaultRowHeight="14.25"/>
  <cols>
    <col min="1" max="1" width="22" customWidth="1"/>
    <col min="2" max="6" width="13" customWidth="1"/>
  </cols>
  <sheetData>
    <row r="1" spans="1:6" ht="25.5" customHeight="1">
      <c r="A1" s="11" t="s">
        <v>65</v>
      </c>
      <c r="B1" s="11"/>
      <c r="C1" s="11"/>
      <c r="D1" s="11"/>
      <c r="E1" s="11"/>
      <c r="F1" s="11"/>
    </row>
    <row r="2" spans="1:6" ht="15" customHeight="1">
      <c r="A2" s="18">
        <f>IF(入力!D13="","　　　　年　　月　　日",入力!D13&amp;"年"&amp;入力!F13&amp;"月"&amp;入力!H13&amp;"日")</f>
      </c>
      <c r="B2" s="18"/>
      <c r="C2" s="18"/>
      <c r="D2" s="19">
        <f>IF((IF(入力!D12="","",IFERROR(MID(入力!D12,FIND("　",入力!D12)+1,LEN(入力!D12)),IFERROR(VLOOKUP(入力!D12,在外公館リスト,2,FALSE()),"該当コードなし"))))="","在　　　　　　　　　　　　　館",IF(入力!D12="","",IFERROR(MID(入力!D12,FIND("　",入力!D12)+1,LEN(入力!D12)),IFERROR(VLOOKUP(入力!D12,在外公館リスト,2,FALSE()),"該当コードなし"))))</f>
      </c>
      <c r="E2" s="19"/>
      <c r="F2" s="19"/>
    </row>
    <row r="3" spans="1:6" ht="15" customHeight="1">
      <c r="A3" s="18" t="inlineStr">
        <is>
          <t xml:space="preserve">健康管理医　　　　　　　　　　　　　印</t>
        </is>
      </c>
      <c r="B3" s="18"/>
      <c r="C3" s="18"/>
      <c r="D3" s="20" t="s">
        <v>57</v>
      </c>
      <c r="E3" s="20"/>
      <c r="F3" s="20"/>
    </row>
    <row r="4" spans="1:6" ht="6" customHeight="1"/>
    <row r="5" spans="1:6" ht="15" customHeight="1">
      <c r="A5" s="24">
        <f>IF((IF(入力!D12="","",IFERROR(MID(入力!D12,FIND("　",入力!D12)+1,LEN(入力!D12)),IFERROR(VLOOKUP(入力!D12,在外公館リスト,2,FALSE()),"該当コードなし"))))="","在　　　　　　　　　　　　　　　　　大使館",IF(入力!D12="","",IFERROR(MID(入力!D12,FIND("　",入力!D12)+1,LEN(入力!D12)),IFERROR(VLOOKUP(入力!D12,在外公館リスト,2,FALSE()),"該当コードなし"))))</f>
      </c>
      <c r="B5" s="24"/>
      <c r="C5" s="24"/>
      <c r="D5" s="24"/>
      <c r="E5" s="24"/>
      <c r="F5" s="24"/>
    </row>
    <row r="6" spans="1:6" ht="16.5" customHeight="1">
      <c r="A6" s="25" t="s">
        <v>3</v>
      </c>
      <c r="B6" s="25"/>
      <c r="C6" s="13">
        <f>入力!E5&amp;"　"&amp;入力!H5</f>
      </c>
      <c r="D6" s="13"/>
      <c r="E6" s="13"/>
      <c r="F6" s="13"/>
    </row>
    <row r="7" spans="1:6" ht="16.5" customHeight="1">
      <c r="A7" s="25" t="s">
        <v>8</v>
      </c>
      <c r="B7" s="25"/>
      <c r="C7" s="13">
        <f>IF(AND(入力!E6="",入力!H6=""),"",入力!E6&amp;"　"&amp;入力!H6)</f>
      </c>
      <c r="D7" s="13"/>
      <c r="E7" s="13"/>
      <c r="F7" s="13"/>
    </row>
    <row r="8" spans="1:6" ht="16.5" customHeight="1">
      <c r="A8" s="25" t="s">
        <v>66</v>
      </c>
      <c r="B8" s="25"/>
      <c r="C8" s="13">
        <f>IF(入力!D7="","西暦　　年　　月　　日","西暦"&amp;入力!D7&amp;"年"&amp;入力!F7&amp;"月"&amp;入力!H7&amp;"日")</f>
      </c>
      <c r="D8" s="13"/>
      <c r="E8" s="13"/>
      <c r="F8" s="13"/>
    </row>
    <row r="9" spans="1:6" ht="6" customHeight="1"/>
    <row r="10" spans="1:6" ht="15" customHeight="1">
      <c r="A10" s="18" t="s">
        <v>67</v>
      </c>
      <c r="B10" s="18"/>
      <c r="C10" s="18"/>
      <c r="D10" s="18"/>
      <c r="E10" s="18"/>
      <c r="F10" s="18"/>
    </row>
    <row r="11" spans="1:6" ht="15" customHeight="1">
      <c r="A11" s="26" t="s">
        <v>68</v>
      </c>
      <c r="B11" s="26"/>
      <c r="C11" s="26"/>
      <c r="D11" s="26"/>
      <c r="E11" s="26"/>
      <c r="F11" s="26"/>
    </row>
    <row r="12" spans="1:6" ht="15" customHeight="1">
      <c r="A12" s="3" t="s">
        <v>30</v>
      </c>
      <c r="B12" s="3" t="s">
        <v>31</v>
      </c>
      <c r="C12" s="24" t="s">
        <v>32</v>
      </c>
      <c r="D12" s="24"/>
      <c r="E12" s="24" t="s">
        <v>69</v>
      </c>
      <c r="F12" s="24"/>
    </row>
    <row r="13" spans="1:6" ht="25.5" customHeight="1">
      <c r="A13" s="4">
        <f>IF(入力!B24="","（1）","（1）　"&amp;入力!B24)</f>
      </c>
      <c r="B13" s="2">
        <f>IF(入力!C24="","",入力!C24)</f>
      </c>
      <c r="C13" s="27">
        <f>IF(入力!D24="","",入力!D24)</f>
      </c>
      <c r="D13" s="27"/>
      <c r="E13" s="27">
        <f>IF(入力!G24="","",入力!G24)</f>
      </c>
      <c r="F13" s="27"/>
    </row>
    <row r="14" spans="1:6" ht="25.5" customHeight="1">
      <c r="A14" s="4">
        <f>IF(入力!B25="","（2）","（2）　"&amp;入力!B25)</f>
      </c>
      <c r="B14" s="2" t="str">
        <f>IF(入力!C25="","",入力!C25)</f>
        <v/>
      </c>
      <c r="C14" s="27" t="str">
        <f>IF(入力!D25="","",入力!D25)</f>
        <v/>
      </c>
      <c r="D14" s="27"/>
      <c r="E14" s="27" t="str">
        <f>IF(入力!G25="","",入力!G25)</f>
        <v/>
      </c>
      <c r="F14" s="27"/>
    </row>
    <row r="15" spans="1:6" ht="25.5" customHeight="1">
      <c r="A15" s="4">
        <f>IF(入力!B26="","（3）","（3）　"&amp;入力!B26)</f>
      </c>
      <c r="B15" s="2" t="str">
        <f>IF(入力!C26="","",入力!C26)</f>
        <v/>
      </c>
      <c r="C15" s="27" t="str">
        <f>IF(入力!D26="","",入力!D26)</f>
        <v/>
      </c>
      <c r="D15" s="27"/>
      <c r="E15" s="27" t="str">
        <f>IF(入力!G26="","",入力!G26)</f>
        <v/>
      </c>
      <c r="F15" s="27"/>
    </row>
    <row r="16" spans="1:6" ht="25.5" customHeight="1">
      <c r="A16" s="4">
        <f>IF(入力!B27="","（4）","（4）　"&amp;入力!B27)</f>
      </c>
      <c r="B16" s="2" t="str">
        <f>IF(入力!C27="","",入力!C27)</f>
        <v/>
      </c>
      <c r="C16" s="27" t="str">
        <f>IF(入力!D27="","",入力!D27)</f>
        <v/>
      </c>
      <c r="D16" s="27"/>
      <c r="E16" s="27" t="str">
        <f>IF(入力!G27="","",入力!G27)</f>
        <v/>
      </c>
      <c r="F16" s="27"/>
    </row>
    <row r="17" spans="1:6" ht="25.5" customHeight="1">
      <c r="A17" s="4">
        <f>IF(入力!B28="","（5）","（5）　"&amp;入力!B28)</f>
      </c>
      <c r="B17" s="2" t="str">
        <f>IF(入力!C28="","",入力!C28)</f>
        <v/>
      </c>
      <c r="C17" s="27" t="str">
        <f>IF(入力!D28="","",入力!D28)</f>
        <v/>
      </c>
      <c r="D17" s="27"/>
      <c r="E17" s="27" t="str">
        <f>IF(入力!G28="","",入力!G28)</f>
        <v/>
      </c>
      <c r="F17" s="27"/>
    </row>
    <row r="18" spans="1:6" ht="25.5" customHeight="1">
      <c r="A18" s="4">
        <f>IF(入力!B29="","（6）","（6）　"&amp;入力!B29)</f>
      </c>
      <c r="B18" s="2" t="str">
        <f>IF(入力!C29="","",入力!C29)</f>
        <v/>
      </c>
      <c r="C18" s="27" t="str">
        <f>IF(入力!D29="","",入力!D29)</f>
        <v/>
      </c>
      <c r="D18" s="27"/>
      <c r="E18" s="27" t="str">
        <f>IF(入力!G29="","",入力!G29)</f>
        <v/>
      </c>
      <c r="F18" s="27"/>
    </row>
    <row r="19" spans="1:6" ht="25.5" customHeight="1">
      <c r="A19" s="4">
        <f>IF(入力!B30="","（7）","（7）　"&amp;入力!B30)</f>
      </c>
      <c r="B19" s="2" t="str">
        <f>IF(入力!C30="","",入力!C30)</f>
        <v/>
      </c>
      <c r="C19" s="27" t="str">
        <f>IF(入力!D30="","",入力!D30)</f>
        <v/>
      </c>
      <c r="D19" s="27"/>
      <c r="E19" s="27" t="str">
        <f>IF(入力!G30="","",入力!G30)</f>
        <v/>
      </c>
      <c r="F19" s="27"/>
    </row>
    <row r="20" spans="1:6" ht="25.5" customHeight="1">
      <c r="A20" s="4">
        <f>IF(入力!B31="","（8）","（8）　"&amp;入力!B31)</f>
      </c>
      <c r="B20" s="2" t="str">
        <f>IF(入力!C31="","",入力!C31)</f>
        <v/>
      </c>
      <c r="C20" s="27" t="str">
        <f>IF(入力!D31="","",入力!D31)</f>
        <v/>
      </c>
      <c r="D20" s="27"/>
      <c r="E20" s="27" t="str">
        <f>IF(入力!G31="","",入力!G31)</f>
        <v/>
      </c>
      <c r="F20" s="27"/>
    </row>
    <row r="21" spans="1:6" ht="25.5" customHeight="1">
      <c r="A21" s="4">
        <f>IF(入力!B32="","（9）","（9）　"&amp;入力!B32)</f>
      </c>
      <c r="B21" s="2" t="str">
        <f>IF(入力!C32="","",入力!C32)</f>
        <v/>
      </c>
      <c r="C21" s="27" t="str">
        <f>IF(入力!D32="","",入力!D32)</f>
        <v/>
      </c>
      <c r="D21" s="27"/>
      <c r="E21" s="27" t="str">
        <f>IF(入力!G32="","",入力!G32)</f>
        <v/>
      </c>
      <c r="F21" s="27"/>
    </row>
    <row r="22" spans="1:6" ht="25.5" customHeight="1">
      <c r="A22" s="4">
        <f>IF(入力!B33="","（10）","（10）　"&amp;入力!B33)</f>
      </c>
      <c r="B22" s="2" t="str">
        <f>IF(入力!C33="","",入力!C33)</f>
        <v/>
      </c>
      <c r="C22" s="27" t="str">
        <f>IF(入力!D33="","",入力!D33)</f>
        <v/>
      </c>
      <c r="D22" s="27"/>
      <c r="E22" s="27" t="str">
        <f>IF(入力!G33="","",入力!G33)</f>
        <v/>
      </c>
      <c r="F22" s="27"/>
    </row>
    <row r="23" spans="1:6" ht="15" customHeight="1">
      <c r="A23" s="28">
        <f>IF(入力!P4=0,"　　　日分",入力!P4&amp;"　日分（合計）")</f>
      </c>
      <c r="B23" s="28"/>
      <c r="C23" s="28"/>
      <c r="D23" s="28"/>
      <c r="E23" s="22">
        <f>IF(入力!D20="不可","☑ 後発医薬品への変更不可","□ 後発医薬品への変更不可")</f>
      </c>
      <c r="F23" s="22"/>
    </row>
    <row r="24" spans="1:6" ht="6" customHeight="1"/>
    <row r="25" spans="1:6" ht="15" customHeight="1">
      <c r="A25" s="21" t="s">
        <v>58</v>
      </c>
      <c r="B25" s="21"/>
      <c r="C25" s="21"/>
      <c r="D25" s="21"/>
      <c r="E25" s="21"/>
      <c r="F25" s="21"/>
    </row>
    <row r="26" spans="1:6" ht="15.75" customHeight="1">
      <c r="A26" s="29" t="s">
        <v>70</v>
      </c>
      <c r="B26" s="29"/>
      <c r="C26" s="29"/>
      <c r="D26" s="29"/>
      <c r="E26" s="29"/>
      <c r="F26" s="29"/>
    </row>
    <row r="27" spans="1:6" ht="15.75" customHeight="1">
      <c r="A27" s="29" t="s">
        <v>71</v>
      </c>
      <c r="B27" s="29"/>
      <c r="C27" s="29"/>
      <c r="D27" s="29"/>
      <c r="E27" s="29"/>
      <c r="F27" s="29"/>
    </row>
    <row r="28" spans="1:6" ht="15.75" customHeight="1">
      <c r="A28" s="29" t="s">
        <v>72</v>
      </c>
      <c r="B28" s="29"/>
      <c r="C28" s="29"/>
      <c r="D28" s="29"/>
      <c r="E28" s="29"/>
      <c r="F28" s="29"/>
    </row>
    <row r="29" spans="1:6" ht="15.75" customHeight="1">
      <c r="A29" s="29" t="s">
        <v>73</v>
      </c>
      <c r="B29" s="29"/>
      <c r="C29" s="29"/>
      <c r="D29" s="29"/>
      <c r="E29" s="29"/>
      <c r="F29" s="29"/>
    </row>
    <row r="30" spans="1:6" ht="15.75" customHeight="1">
      <c r="A30" s="29" t="s">
        <v>74</v>
      </c>
      <c r="B30" s="29"/>
      <c r="C30" s="29"/>
      <c r="D30" s="29"/>
      <c r="E30" s="29"/>
      <c r="F30" s="29"/>
    </row>
    <row r="31" spans="1:6" ht="15.75" customHeight="1">
      <c r="A31" s="29" t="s">
        <v>75</v>
      </c>
      <c r="B31" s="29"/>
      <c r="C31" s="29"/>
      <c r="D31" s="29"/>
      <c r="E31" s="29"/>
      <c r="F31" s="29"/>
    </row>
    <row r="32" spans="1:6" ht="15.75" customHeight="1">
      <c r="A32" s="29" t="s">
        <v>76</v>
      </c>
      <c r="B32" s="29"/>
      <c r="C32" s="29"/>
      <c r="D32" s="29"/>
      <c r="E32" s="29"/>
      <c r="F32" s="29"/>
    </row>
    <row r="33" spans="1:6" ht="27.75" customHeight="1">
      <c r="A33" s="29" t="s">
        <v>77</v>
      </c>
      <c r="B33" s="29"/>
      <c r="C33" s="29"/>
      <c r="D33" s="29"/>
      <c r="E33" s="29"/>
      <c r="F33" s="29"/>
    </row>
    <row r="34" spans="1:6" ht="27.75" customHeight="1">
      <c r="A34" s="29" t="s">
        <v>78</v>
      </c>
      <c r="B34" s="29"/>
      <c r="C34" s="29"/>
      <c r="D34" s="29"/>
      <c r="E34" s="29"/>
      <c r="F34" s="29"/>
    </row>
    <row r="35" spans="1:6" ht="15.75" customHeight="1">
      <c r="A35" s="30" t="s">
        <v>79</v>
      </c>
      <c r="B35" s="30"/>
      <c r="C35" s="30"/>
      <c r="D35" s="30"/>
      <c r="E35" s="30"/>
      <c r="F35" s="30"/>
    </row>
  </sheetData>
  <sheetProtection sheet="1"/>
  <mergeCells count="49">
    <mergeCell ref="A31:F31"/>
    <mergeCell ref="A32:F32"/>
    <mergeCell ref="A33:F33"/>
    <mergeCell ref="A34:F34"/>
    <mergeCell ref="A35:F35"/>
    <mergeCell ref="A26:F26"/>
    <mergeCell ref="A27:F27"/>
    <mergeCell ref="A28:F28"/>
    <mergeCell ref="A29:F29"/>
    <mergeCell ref="A30:F30"/>
    <mergeCell ref="C22:D22"/>
    <mergeCell ref="E22:F22"/>
    <mergeCell ref="A23:D23"/>
    <mergeCell ref="E23:F23"/>
    <mergeCell ref="A25:F25"/>
    <mergeCell ref="C19:D19"/>
    <mergeCell ref="E19:F19"/>
    <mergeCell ref="C20:D20"/>
    <mergeCell ref="E20:F20"/>
    <mergeCell ref="C21:D21"/>
    <mergeCell ref="E21:F21"/>
    <mergeCell ref="C16:D16"/>
    <mergeCell ref="E16:F16"/>
    <mergeCell ref="C17:D17"/>
    <mergeCell ref="E17:F17"/>
    <mergeCell ref="C18:D18"/>
    <mergeCell ref="E18:F18"/>
    <mergeCell ref="C13:D13"/>
    <mergeCell ref="E13:F13"/>
    <mergeCell ref="C14:D14"/>
    <mergeCell ref="E14:F14"/>
    <mergeCell ref="C15:D15"/>
    <mergeCell ref="E15:F15"/>
    <mergeCell ref="A8:B8"/>
    <mergeCell ref="C8:F8"/>
    <mergeCell ref="A10:F10"/>
    <mergeCell ref="A11:F11"/>
    <mergeCell ref="C12:D12"/>
    <mergeCell ref="E12:F12"/>
    <mergeCell ref="A5:F5"/>
    <mergeCell ref="A6:B6"/>
    <mergeCell ref="C6:F6"/>
    <mergeCell ref="A7:B7"/>
    <mergeCell ref="C7:F7"/>
    <mergeCell ref="A1:F1"/>
    <mergeCell ref="A2:C2"/>
    <mergeCell ref="D2:F2"/>
    <mergeCell ref="A3:C3"/>
    <mergeCell ref="D3:F3"/>
  </mergeCells>
  <phoneticPr fontId="26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5"/>
  <sheetViews>
    <sheetView zoomScaleNormal="100" workbookViewId="0"/>
  </sheetViews>
  <sheetFormatPr defaultColWidth="8.73046875" defaultRowHeight="14.25"/>
  <cols>
    <col min="1" max="1" width="22" customWidth="1"/>
    <col min="2" max="2" width="78" customWidth="1"/>
  </cols>
  <sheetData>
    <row r="1" spans="1:2" ht="15.75" customHeight="1">
      <c r="A1" s="5" t="s">
        <v>80</v>
      </c>
    </row>
    <row r="3" spans="1:2" ht="15" customHeight="1">
      <c r="A3" s="6" t="s">
        <v>81</v>
      </c>
      <c r="B3" s="6" t="s">
        <v>82</v>
      </c>
    </row>
    <row r="4" spans="1:2" ht="31.5" customHeight="1">
      <c r="A4" s="7" t="s">
        <v>83</v>
      </c>
      <c r="B4" s="7" t="s">
        <v>84</v>
      </c>
    </row>
    <row r="5" spans="1:2" ht="31.5" customHeight="1">
      <c r="A5" s="7" t="s">
        <v>85</v>
      </c>
      <c r="B5" s="7" t="s">
        <v>86</v>
      </c>
    </row>
    <row r="6" spans="1:2" ht="31.5" customHeight="1">
      <c r="A6" s="7" t="s">
        <v>87</v>
      </c>
      <c r="B6" s="7" t="s">
        <v>88</v>
      </c>
    </row>
    <row r="7" spans="1:2" ht="31.5" customHeight="1">
      <c r="A7" s="7" t="s">
        <v>89</v>
      </c>
      <c r="B7" s="7" t="s">
        <v>90</v>
      </c>
    </row>
    <row r="8" spans="1:2" ht="31.5" customHeight="1">
      <c r="A8" s="7" t="s">
        <v>91</v>
      </c>
      <c r="B8" s="7" t="s">
        <v>92</v>
      </c>
    </row>
    <row r="9" spans="1:2" ht="31.5" customHeight="1">
      <c r="A9" s="7" t="s">
        <v>93</v>
      </c>
      <c r="B9" s="7" t="s">
        <v>94</v>
      </c>
    </row>
    <row r="10" spans="1:2" ht="31.5" customHeight="1">
      <c r="A10" s="7" t="s">
        <v>25</v>
      </c>
      <c r="B10" s="7" t="s">
        <v>95</v>
      </c>
    </row>
    <row r="11" spans="1:2" ht="31.5" customHeight="1">
      <c r="A11" s="7" t="s">
        <v>32</v>
      </c>
      <c r="B11" s="7" t="s">
        <v>96</v>
      </c>
    </row>
    <row r="12" spans="1:2" ht="31.5" customHeight="1">
      <c r="A12" s="7" t="s">
        <v>97</v>
      </c>
      <c r="B12" s="7" t="s">
        <v>98</v>
      </c>
    </row>
    <row r="13" spans="1:2" ht="31.5" customHeight="1">
      <c r="A13" s="7" t="s">
        <v>99</v>
      </c>
      <c r="B13" s="7" t="s">
        <v>100</v>
      </c>
    </row>
    <row r="14" spans="1:2" ht="31.5" customHeight="1">
      <c r="A14" s="7" t="s">
        <v>101</v>
      </c>
      <c r="B14" s="7" t="s">
        <v>102</v>
      </c>
    </row>
    <row r="15" spans="1:2" ht="31.5" customHeight="1">
      <c r="A15" s="7" t="s">
        <v>103</v>
      </c>
      <c r="B15" s="7" t="s">
        <v>104</v>
      </c>
    </row>
  </sheetData>
  <phoneticPr fontId="26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27"/>
  <sheetViews>
    <sheetView zoomScaleNormal="100" workbookViewId="0"/>
  </sheetViews>
  <sheetFormatPr defaultColWidth="8.73046875" defaultRowHeight="14.25"/>
  <sheetData>
    <row r="1" spans="1:4" ht="15" customHeight="1">
      <c r="A1" s="8" t="s">
        <v>105</v>
      </c>
      <c r="B1" s="8" t="s">
        <v>106</v>
      </c>
      <c r="C1" s="8" t="s">
        <v>13</v>
      </c>
      <c r="D1" s="8" t="s">
        <v>14</v>
      </c>
    </row>
    <row r="2" spans="1:4" ht="15" customHeight="1">
      <c r="A2">
        <v>1920</v>
      </c>
      <c r="B2">
        <v>1</v>
      </c>
      <c r="C2">
        <v>1</v>
      </c>
      <c r="D2">
        <v>1</v>
      </c>
    </row>
    <row r="3" spans="1:4" ht="15" customHeight="1">
      <c r="A3">
        <v>1921</v>
      </c>
      <c r="B3">
        <v>2</v>
      </c>
      <c r="C3">
        <v>2</v>
      </c>
      <c r="D3">
        <v>2</v>
      </c>
    </row>
    <row r="4" spans="1:4" ht="15" customHeight="1">
      <c r="A4">
        <v>1922</v>
      </c>
      <c r="B4">
        <v>3</v>
      </c>
      <c r="C4">
        <v>3</v>
      </c>
      <c r="D4">
        <v>3</v>
      </c>
    </row>
    <row r="5" spans="1:4" ht="15" customHeight="1">
      <c r="A5">
        <v>1923</v>
      </c>
      <c r="B5">
        <v>4</v>
      </c>
      <c r="C5">
        <v>4</v>
      </c>
      <c r="D5">
        <v>4</v>
      </c>
    </row>
    <row r="6" spans="1:4" ht="15" customHeight="1">
      <c r="A6">
        <v>1924</v>
      </c>
      <c r="B6">
        <v>5</v>
      </c>
      <c r="C6">
        <v>5</v>
      </c>
      <c r="D6">
        <v>5</v>
      </c>
    </row>
    <row r="7" spans="1:4" ht="15" customHeight="1">
      <c r="A7">
        <v>1925</v>
      </c>
      <c r="B7">
        <v>6</v>
      </c>
      <c r="C7">
        <v>6</v>
      </c>
      <c r="D7">
        <v>6</v>
      </c>
    </row>
    <row r="8" spans="1:4" ht="15" customHeight="1">
      <c r="A8">
        <v>1926</v>
      </c>
      <c r="B8">
        <v>7</v>
      </c>
      <c r="C8">
        <v>7</v>
      </c>
      <c r="D8">
        <v>7</v>
      </c>
    </row>
    <row r="9" spans="1:4" ht="15" customHeight="1">
      <c r="A9">
        <v>1927</v>
      </c>
      <c r="B9">
        <v>8</v>
      </c>
      <c r="C9">
        <v>8</v>
      </c>
      <c r="D9">
        <v>8</v>
      </c>
    </row>
    <row r="10" spans="1:4" ht="15" customHeight="1">
      <c r="A10">
        <v>1928</v>
      </c>
      <c r="B10">
        <v>9</v>
      </c>
      <c r="C10">
        <v>9</v>
      </c>
      <c r="D10">
        <v>9</v>
      </c>
    </row>
    <row r="11" spans="1:4" ht="15" customHeight="1">
      <c r="A11">
        <v>1929</v>
      </c>
      <c r="B11">
        <v>10</v>
      </c>
      <c r="C11">
        <v>10</v>
      </c>
      <c r="D11">
        <v>10</v>
      </c>
    </row>
    <row r="12" spans="1:4" ht="15" customHeight="1">
      <c r="A12">
        <v>1930</v>
      </c>
      <c r="B12">
        <v>11</v>
      </c>
      <c r="C12">
        <v>11</v>
      </c>
      <c r="D12">
        <v>11</v>
      </c>
    </row>
    <row r="13" spans="1:4" ht="15" customHeight="1">
      <c r="A13">
        <v>1931</v>
      </c>
      <c r="B13">
        <v>12</v>
      </c>
      <c r="C13">
        <v>12</v>
      </c>
      <c r="D13">
        <v>12</v>
      </c>
    </row>
    <row r="14" spans="1:4" ht="15" customHeight="1">
      <c r="A14">
        <v>1932</v>
      </c>
      <c r="B14">
        <v>13</v>
      </c>
      <c r="D14">
        <v>13</v>
      </c>
    </row>
    <row r="15" spans="1:4" ht="15" customHeight="1">
      <c r="A15">
        <v>1933</v>
      </c>
      <c r="B15">
        <v>14</v>
      </c>
      <c r="D15">
        <v>14</v>
      </c>
    </row>
    <row r="16" spans="1:4" ht="15" customHeight="1">
      <c r="A16">
        <v>1934</v>
      </c>
      <c r="B16">
        <v>15</v>
      </c>
      <c r="D16">
        <v>15</v>
      </c>
    </row>
    <row r="17" spans="1:4" ht="15" customHeight="1">
      <c r="A17">
        <v>1935</v>
      </c>
      <c r="D17">
        <v>16</v>
      </c>
    </row>
    <row r="18" spans="1:4" ht="15" customHeight="1">
      <c r="A18">
        <v>1936</v>
      </c>
      <c r="D18">
        <v>17</v>
      </c>
    </row>
    <row r="19" spans="1:4" ht="15" customHeight="1">
      <c r="A19">
        <v>1937</v>
      </c>
      <c r="D19">
        <v>18</v>
      </c>
    </row>
    <row r="20" spans="1:4" ht="15" customHeight="1">
      <c r="A20">
        <v>1938</v>
      </c>
      <c r="D20">
        <v>19</v>
      </c>
    </row>
    <row r="21" spans="1:4" ht="15" customHeight="1">
      <c r="A21">
        <v>1939</v>
      </c>
      <c r="D21">
        <v>20</v>
      </c>
    </row>
    <row r="22" spans="1:4" ht="15" customHeight="1">
      <c r="A22">
        <v>1940</v>
      </c>
      <c r="D22">
        <v>21</v>
      </c>
    </row>
    <row r="23" spans="1:4" ht="15" customHeight="1">
      <c r="A23">
        <v>1941</v>
      </c>
      <c r="D23">
        <v>22</v>
      </c>
    </row>
    <row r="24" spans="1:4" ht="15" customHeight="1">
      <c r="A24">
        <v>1942</v>
      </c>
      <c r="D24">
        <v>23</v>
      </c>
    </row>
    <row r="25" spans="1:4" ht="15" customHeight="1">
      <c r="A25">
        <v>1943</v>
      </c>
      <c r="D25">
        <v>24</v>
      </c>
    </row>
    <row r="26" spans="1:4" ht="15" customHeight="1">
      <c r="A26">
        <v>1944</v>
      </c>
      <c r="D26">
        <v>25</v>
      </c>
    </row>
    <row r="27" spans="1:4" ht="15" customHeight="1">
      <c r="A27">
        <v>1945</v>
      </c>
      <c r="D27">
        <v>26</v>
      </c>
    </row>
    <row r="28" spans="1:4" ht="15" customHeight="1">
      <c r="A28">
        <v>1946</v>
      </c>
      <c r="D28">
        <v>27</v>
      </c>
    </row>
    <row r="29" spans="1:4" ht="15" customHeight="1">
      <c r="A29">
        <v>1947</v>
      </c>
      <c r="D29">
        <v>28</v>
      </c>
    </row>
    <row r="30" spans="1:4" ht="15" customHeight="1">
      <c r="A30">
        <v>1948</v>
      </c>
      <c r="D30">
        <v>29</v>
      </c>
    </row>
    <row r="31" spans="1:4" ht="15" customHeight="1">
      <c r="A31">
        <v>1949</v>
      </c>
      <c r="D31">
        <v>30</v>
      </c>
    </row>
    <row r="32" spans="1:4" ht="15" customHeight="1">
      <c r="A32">
        <v>1950</v>
      </c>
      <c r="D32">
        <v>31</v>
      </c>
    </row>
    <row r="33" spans="1:1" ht="15" customHeight="1">
      <c r="A33">
        <v>1951</v>
      </c>
    </row>
    <row r="34" spans="1:1" ht="15" customHeight="1">
      <c r="A34">
        <v>1952</v>
      </c>
    </row>
    <row r="35" spans="1:1" ht="15" customHeight="1">
      <c r="A35">
        <v>1953</v>
      </c>
    </row>
    <row r="36" spans="1:1" ht="15" customHeight="1">
      <c r="A36">
        <v>1954</v>
      </c>
    </row>
    <row r="37" spans="1:1" ht="15" customHeight="1">
      <c r="A37">
        <v>1955</v>
      </c>
    </row>
    <row r="38" spans="1:1" ht="15" customHeight="1">
      <c r="A38">
        <v>1956</v>
      </c>
    </row>
    <row r="39" spans="1:1" ht="15" customHeight="1">
      <c r="A39">
        <v>1957</v>
      </c>
    </row>
    <row r="40" spans="1:1" ht="15" customHeight="1">
      <c r="A40">
        <v>1958</v>
      </c>
    </row>
    <row r="41" spans="1:1" ht="15" customHeight="1">
      <c r="A41">
        <v>1959</v>
      </c>
    </row>
    <row r="42" spans="1:1" ht="15" customHeight="1">
      <c r="A42">
        <v>1960</v>
      </c>
    </row>
    <row r="43" spans="1:1" ht="15" customHeight="1">
      <c r="A43">
        <v>1961</v>
      </c>
    </row>
    <row r="44" spans="1:1" ht="15" customHeight="1">
      <c r="A44">
        <v>1962</v>
      </c>
    </row>
    <row r="45" spans="1:1" ht="15" customHeight="1">
      <c r="A45">
        <v>1963</v>
      </c>
    </row>
    <row r="46" spans="1:1" ht="15" customHeight="1">
      <c r="A46">
        <v>1964</v>
      </c>
    </row>
    <row r="47" spans="1:1" ht="15" customHeight="1">
      <c r="A47">
        <v>1965</v>
      </c>
    </row>
    <row r="48" spans="1:1" ht="15" customHeight="1">
      <c r="A48">
        <v>1966</v>
      </c>
    </row>
    <row r="49" spans="1:1" ht="15" customHeight="1">
      <c r="A49">
        <v>1967</v>
      </c>
    </row>
    <row r="50" spans="1:1" ht="15" customHeight="1">
      <c r="A50">
        <v>1968</v>
      </c>
    </row>
    <row r="51" spans="1:1" ht="15" customHeight="1">
      <c r="A51">
        <v>1969</v>
      </c>
    </row>
    <row r="52" spans="1:1" ht="15" customHeight="1">
      <c r="A52">
        <v>1970</v>
      </c>
    </row>
    <row r="53" spans="1:1" ht="15" customHeight="1">
      <c r="A53">
        <v>1971</v>
      </c>
    </row>
    <row r="54" spans="1:1" ht="15" customHeight="1">
      <c r="A54">
        <v>1972</v>
      </c>
    </row>
    <row r="55" spans="1:1" ht="15" customHeight="1">
      <c r="A55">
        <v>1973</v>
      </c>
    </row>
    <row r="56" spans="1:1" ht="15" customHeight="1">
      <c r="A56">
        <v>1974</v>
      </c>
    </row>
    <row r="57" spans="1:1" ht="15" customHeight="1">
      <c r="A57">
        <v>1975</v>
      </c>
    </row>
    <row r="58" spans="1:1" ht="15" customHeight="1">
      <c r="A58">
        <v>1976</v>
      </c>
    </row>
    <row r="59" spans="1:1" ht="15" customHeight="1">
      <c r="A59">
        <v>1977</v>
      </c>
    </row>
    <row r="60" spans="1:1" ht="15" customHeight="1">
      <c r="A60">
        <v>1978</v>
      </c>
    </row>
    <row r="61" spans="1:1" ht="15" customHeight="1">
      <c r="A61">
        <v>1979</v>
      </c>
    </row>
    <row r="62" spans="1:1" ht="15" customHeight="1">
      <c r="A62">
        <v>1980</v>
      </c>
    </row>
    <row r="63" spans="1:1" ht="15" customHeight="1">
      <c r="A63">
        <v>1981</v>
      </c>
    </row>
    <row r="64" spans="1:1" ht="15" customHeight="1">
      <c r="A64">
        <v>1982</v>
      </c>
    </row>
    <row r="65" spans="1:1" ht="15" customHeight="1">
      <c r="A65">
        <v>1983</v>
      </c>
    </row>
    <row r="66" spans="1:1" ht="15" customHeight="1">
      <c r="A66">
        <v>1984</v>
      </c>
    </row>
    <row r="67" spans="1:1" ht="15" customHeight="1">
      <c r="A67">
        <v>1985</v>
      </c>
    </row>
    <row r="68" spans="1:1" ht="15" customHeight="1">
      <c r="A68">
        <v>1986</v>
      </c>
    </row>
    <row r="69" spans="1:1" ht="15" customHeight="1">
      <c r="A69">
        <v>1987</v>
      </c>
    </row>
    <row r="70" spans="1:1" ht="15" customHeight="1">
      <c r="A70">
        <v>1988</v>
      </c>
    </row>
    <row r="71" spans="1:1" ht="15" customHeight="1">
      <c r="A71">
        <v>1989</v>
      </c>
    </row>
    <row r="72" spans="1:1" ht="15" customHeight="1">
      <c r="A72">
        <v>1990</v>
      </c>
    </row>
    <row r="73" spans="1:1" ht="15" customHeight="1">
      <c r="A73">
        <v>1991</v>
      </c>
    </row>
    <row r="74" spans="1:1" ht="15" customHeight="1">
      <c r="A74">
        <v>1992</v>
      </c>
    </row>
    <row r="75" spans="1:1" ht="15" customHeight="1">
      <c r="A75">
        <v>1993</v>
      </c>
    </row>
    <row r="76" spans="1:1" ht="15" customHeight="1">
      <c r="A76">
        <v>1994</v>
      </c>
    </row>
    <row r="77" spans="1:1" ht="15" customHeight="1">
      <c r="A77">
        <v>1995</v>
      </c>
    </row>
    <row r="78" spans="1:1" ht="15" customHeight="1">
      <c r="A78">
        <v>1996</v>
      </c>
    </row>
    <row r="79" spans="1:1" ht="15" customHeight="1">
      <c r="A79">
        <v>1997</v>
      </c>
    </row>
    <row r="80" spans="1:1" ht="15" customHeight="1">
      <c r="A80">
        <v>1998</v>
      </c>
    </row>
    <row r="81" spans="1:1" ht="15" customHeight="1">
      <c r="A81">
        <v>1999</v>
      </c>
    </row>
    <row r="82" spans="1:1" ht="15" customHeight="1">
      <c r="A82">
        <v>2000</v>
      </c>
    </row>
    <row r="83" spans="1:1" ht="15" customHeight="1">
      <c r="A83">
        <v>2001</v>
      </c>
    </row>
    <row r="84" spans="1:1" ht="15" customHeight="1">
      <c r="A84">
        <v>2002</v>
      </c>
    </row>
    <row r="85" spans="1:1" ht="15" customHeight="1">
      <c r="A85">
        <v>2003</v>
      </c>
    </row>
    <row r="86" spans="1:1" ht="15" customHeight="1">
      <c r="A86">
        <v>2004</v>
      </c>
    </row>
    <row r="87" spans="1:1" ht="15" customHeight="1">
      <c r="A87">
        <v>2005</v>
      </c>
    </row>
    <row r="88" spans="1:1" ht="15" customHeight="1">
      <c r="A88">
        <v>2006</v>
      </c>
    </row>
    <row r="89" spans="1:1" ht="15" customHeight="1">
      <c r="A89">
        <v>2007</v>
      </c>
    </row>
    <row r="90" spans="1:1" ht="15" customHeight="1">
      <c r="A90">
        <v>2008</v>
      </c>
    </row>
    <row r="91" spans="1:1" ht="15" customHeight="1">
      <c r="A91">
        <v>2009</v>
      </c>
    </row>
    <row r="92" spans="1:1" ht="15" customHeight="1">
      <c r="A92">
        <v>2010</v>
      </c>
    </row>
    <row r="93" spans="1:1" ht="15" customHeight="1">
      <c r="A93">
        <v>2011</v>
      </c>
    </row>
    <row r="94" spans="1:1" ht="15" customHeight="1">
      <c r="A94">
        <v>2012</v>
      </c>
    </row>
    <row r="95" spans="1:1" ht="15" customHeight="1">
      <c r="A95">
        <v>2013</v>
      </c>
    </row>
    <row r="96" spans="1:1" ht="15" customHeight="1">
      <c r="A96">
        <v>2014</v>
      </c>
    </row>
    <row r="97" spans="1:1" ht="15" customHeight="1">
      <c r="A97">
        <v>2015</v>
      </c>
    </row>
    <row r="98" spans="1:1" ht="15" customHeight="1">
      <c r="A98">
        <v>2016</v>
      </c>
    </row>
    <row r="99" spans="1:1" ht="15" customHeight="1">
      <c r="A99">
        <v>2017</v>
      </c>
    </row>
    <row r="100" spans="1:1" ht="15" customHeight="1">
      <c r="A100">
        <v>2018</v>
      </c>
    </row>
    <row r="101" spans="1:1" ht="15" customHeight="1">
      <c r="A101">
        <v>2019</v>
      </c>
    </row>
    <row r="102" spans="1:1" ht="15" customHeight="1">
      <c r="A102">
        <v>2020</v>
      </c>
    </row>
    <row r="103" spans="1:1" ht="15" customHeight="1">
      <c r="A103">
        <v>2021</v>
      </c>
    </row>
    <row r="104" spans="1:1" ht="15" customHeight="1">
      <c r="A104">
        <v>2022</v>
      </c>
    </row>
    <row r="105" spans="1:1" ht="15" customHeight="1">
      <c r="A105">
        <v>2023</v>
      </c>
    </row>
    <row r="106" spans="1:1" ht="15" customHeight="1">
      <c r="A106">
        <v>2024</v>
      </c>
    </row>
    <row r="107" spans="1:1" ht="15" customHeight="1">
      <c r="A107">
        <v>2025</v>
      </c>
    </row>
    <row r="108" spans="1:1" ht="15" customHeight="1">
      <c r="A108">
        <v>2026</v>
      </c>
    </row>
    <row r="109" spans="1:1" ht="15" customHeight="1">
      <c r="A109">
        <v>2027</v>
      </c>
    </row>
    <row r="110" spans="1:1" ht="15" customHeight="1">
      <c r="A110">
        <v>2028</v>
      </c>
    </row>
    <row r="111" spans="1:1" ht="15" customHeight="1">
      <c r="A111">
        <v>2029</v>
      </c>
    </row>
    <row r="112" spans="1:1" ht="15" customHeight="1">
      <c r="A112">
        <v>2030</v>
      </c>
    </row>
    <row r="113" spans="1:1" ht="15" customHeight="1">
      <c r="A113">
        <v>2031</v>
      </c>
    </row>
    <row r="114" spans="1:1" ht="15" customHeight="1">
      <c r="A114">
        <v>2032</v>
      </c>
    </row>
    <row r="115" spans="1:1" ht="15" customHeight="1">
      <c r="A115">
        <v>2033</v>
      </c>
    </row>
    <row r="116" spans="1:1" ht="15" customHeight="1">
      <c r="A116">
        <v>2034</v>
      </c>
    </row>
    <row r="117" spans="1:1" ht="15" customHeight="1">
      <c r="A117">
        <v>2035</v>
      </c>
    </row>
    <row r="118" spans="1:1" ht="15" customHeight="1">
      <c r="A118">
        <v>2036</v>
      </c>
    </row>
    <row r="119" spans="1:1" ht="15" customHeight="1">
      <c r="A119">
        <v>2037</v>
      </c>
    </row>
    <row r="120" spans="1:1" ht="15" customHeight="1">
      <c r="A120">
        <v>2038</v>
      </c>
    </row>
    <row r="121" spans="1:1" ht="15" customHeight="1">
      <c r="A121">
        <v>2039</v>
      </c>
    </row>
    <row r="122" spans="1:1" ht="15" customHeight="1">
      <c r="A122">
        <v>2040</v>
      </c>
    </row>
    <row r="123" spans="1:1" ht="15" customHeight="1">
      <c r="A123">
        <v>2041</v>
      </c>
    </row>
    <row r="124" spans="1:1" ht="15" customHeight="1">
      <c r="A124">
        <v>2042</v>
      </c>
    </row>
    <row r="125" spans="1:1" ht="15" customHeight="1">
      <c r="A125">
        <v>2043</v>
      </c>
    </row>
    <row r="126" spans="1:1" ht="15" customHeight="1">
      <c r="A126">
        <v>2044</v>
      </c>
    </row>
    <row r="127" spans="1:1" ht="15" customHeight="1">
      <c r="A127">
        <v>2045</v>
      </c>
    </row>
  </sheetData>
  <sheetProtection sheet="1"/>
  <phoneticPr fontId="26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9"/>
  <sheetViews>
    <sheetView zoomScaleNormal="100" workbookViewId="0"/>
  </sheetViews>
  <sheetFormatPr defaultColWidth="8.73046875" defaultRowHeight="14.25"/>
  <sheetData>
    <row r="1" spans="1:1" ht="15" customHeight="1">
      <c r="A1" s="8" t="s">
        <v>107</v>
      </c>
    </row>
    <row r="2" spans="1:1" ht="16.5" customHeight="1">
      <c r="A2" t="s">
        <v>108</v>
      </c>
    </row>
    <row r="3" spans="1:1" ht="16.5" customHeight="1">
      <c r="A3" t="s">
        <v>109</v>
      </c>
    </row>
    <row r="4" spans="1:1" ht="16.5" customHeight="1">
      <c r="A4" t="s">
        <v>110</v>
      </c>
    </row>
    <row r="5" spans="1:1" ht="16.5" customHeight="1">
      <c r="A5" t="s">
        <v>111</v>
      </c>
    </row>
    <row r="6" spans="1:1" ht="16.5" customHeight="1">
      <c r="A6" t="s">
        <v>112</v>
      </c>
    </row>
    <row r="7" spans="1:1" ht="16.5" customHeight="1">
      <c r="A7" t="s">
        <v>113</v>
      </c>
    </row>
    <row r="8" spans="1:1" ht="16.5" customHeight="1">
      <c r="A8" t="s">
        <v>114</v>
      </c>
    </row>
    <row r="9" spans="1:1" ht="16.5" customHeight="1">
      <c r="A9" t="s">
        <v>115</v>
      </c>
    </row>
    <row r="10" spans="1:1" ht="16.5" customHeight="1">
      <c r="A10" t="s">
        <v>116</v>
      </c>
    </row>
    <row r="11" spans="1:1" ht="16.5" customHeight="1">
      <c r="A11" t="s">
        <v>117</v>
      </c>
    </row>
    <row r="12" spans="1:1" ht="16.5" customHeight="1">
      <c r="A12" t="s">
        <v>118</v>
      </c>
    </row>
    <row r="13" spans="1:1" ht="16.5" customHeight="1">
      <c r="A13" t="s">
        <v>119</v>
      </c>
    </row>
    <row r="14" spans="1:1" ht="16.5" customHeight="1">
      <c r="A14" t="s">
        <v>120</v>
      </c>
    </row>
    <row r="15" spans="1:1" ht="16.5" customHeight="1">
      <c r="A15" t="s">
        <v>121</v>
      </c>
    </row>
    <row r="16" spans="1:1" ht="16.5" customHeight="1">
      <c r="A16" t="s">
        <v>122</v>
      </c>
    </row>
    <row r="17" spans="1:1" ht="16.5" customHeight="1">
      <c r="A17" t="s">
        <v>123</v>
      </c>
    </row>
    <row r="18" spans="1:1" ht="16.5" customHeight="1">
      <c r="A18" t="s">
        <v>124</v>
      </c>
    </row>
    <row r="19" spans="1:1" ht="15" customHeight="1">
      <c r="A19" s="8" t="s">
        <v>125</v>
      </c>
    </row>
    <row r="20" spans="1:1" ht="15" customHeight="1">
      <c r="A20" s="8" t="s">
        <v>126</v>
      </c>
    </row>
    <row r="21" spans="1:1" ht="15" customHeight="1">
      <c r="A21" s="8" t="s">
        <v>127</v>
      </c>
    </row>
    <row r="22" spans="1:1" ht="16.5" customHeight="1">
      <c r="A22" s="8" t="s">
        <v>128</v>
      </c>
    </row>
    <row r="23" spans="1:1" ht="16.5" customHeight="1">
      <c r="A23" s="8" t="s">
        <v>129</v>
      </c>
    </row>
    <row r="24" spans="1:1" ht="16.5" customHeight="1">
      <c r="A24" t="s">
        <v>130</v>
      </c>
    </row>
    <row r="25" spans="1:1" ht="16.5" customHeight="1">
      <c r="A25" t="s">
        <v>131</v>
      </c>
    </row>
    <row r="26" spans="1:1" ht="16.5" customHeight="1">
      <c r="A26" s="8" t="s">
        <v>132</v>
      </c>
    </row>
    <row r="27" spans="1:1" ht="16.5" customHeight="1">
      <c r="A27" t="s">
        <v>133</v>
      </c>
    </row>
    <row r="28" spans="1:1" ht="15" customHeight="1">
      <c r="A28" s="8" t="s">
        <v>134</v>
      </c>
    </row>
    <row r="29" spans="1:1" ht="16.5" customHeight="1">
      <c r="A29" s="8" t="s">
        <v>135</v>
      </c>
    </row>
  </sheetData>
  <phoneticPr fontId="26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C265"/>
  <sheetViews>
    <sheetView showGridLines="0" topLeftCell="A80" zoomScaleNormal="100" workbookViewId="0"/>
  </sheetViews>
  <sheetFormatPr defaultColWidth="8.6640625" defaultRowHeight="14.25"/>
  <cols>
    <col min="1" max="1" width="14" customWidth="1"/>
    <col min="2" max="2" width="30" customWidth="1"/>
    <col min="3" max="3" width="34" customWidth="1"/>
  </cols>
  <sheetData>
    <row r="2" spans="1:3" ht="15" customHeight="1">
      <c r="A2" s="1" t="s">
        <v>21</v>
      </c>
      <c r="B2" s="1" t="s">
        <v>136</v>
      </c>
      <c r="C2" s="1" t="s">
        <v>137</v>
      </c>
    </row>
    <row r="4" spans="1:3" ht="15" customHeight="1">
      <c r="A4" t="s">
        <v>138</v>
      </c>
      <c r="B4" s="8" t="s">
        <v>139</v>
      </c>
      <c r="C4" s="9" t="str">
        <f t="shared" ref="C4:C67" si="0">A4&amp;"　"&amp;B4</f>
        <v>607C　東南アジア諸国連合日本政府代表部</v>
      </c>
    </row>
    <row r="5" spans="1:3" ht="15" customHeight="1">
      <c r="A5" t="s">
        <v>140</v>
      </c>
      <c r="B5" s="8" t="s">
        <v>141</v>
      </c>
      <c r="C5" s="9" t="str">
        <f t="shared" si="0"/>
        <v>301C　国際連合日本政府代表部</v>
      </c>
    </row>
    <row r="6" spans="1:3" ht="15" customHeight="1">
      <c r="A6" t="s">
        <v>142</v>
      </c>
      <c r="B6" s="8" t="s">
        <v>143</v>
      </c>
      <c r="C6" s="9" t="str">
        <f t="shared" si="0"/>
        <v>302C　国際民間航空機関日本政府代表部</v>
      </c>
    </row>
    <row r="7" spans="1:3" ht="15" customHeight="1">
      <c r="A7" t="s">
        <v>144</v>
      </c>
      <c r="B7" s="8" t="s">
        <v>145</v>
      </c>
      <c r="C7" s="9" t="str">
        <f t="shared" si="0"/>
        <v>501C　在ウィーン国際機関日本政府代表部</v>
      </c>
    </row>
    <row r="8" spans="1:3" ht="15" customHeight="1">
      <c r="A8" t="s">
        <v>146</v>
      </c>
      <c r="B8" s="8" t="s">
        <v>147</v>
      </c>
      <c r="C8" s="9" t="str">
        <f t="shared" si="0"/>
        <v>516C　在ジュネーブ国際機関日本政府代表部</v>
      </c>
    </row>
    <row r="9" spans="1:3" ht="15" customHeight="1">
      <c r="A9" t="s">
        <v>148</v>
      </c>
      <c r="B9" s="8" t="s">
        <v>149</v>
      </c>
      <c r="C9" s="9" t="str">
        <f t="shared" si="0"/>
        <v>590C　軍縮会議日本政府代表部</v>
      </c>
    </row>
    <row r="10" spans="1:3" ht="15" customHeight="1">
      <c r="A10" t="s">
        <v>150</v>
      </c>
      <c r="B10" s="8" t="s">
        <v>151</v>
      </c>
      <c r="C10" s="9" t="str">
        <f t="shared" si="0"/>
        <v>505C　経済協力開発機構日本政府代表部</v>
      </c>
    </row>
    <row r="11" spans="1:3" ht="15" customHeight="1">
      <c r="A11" t="s">
        <v>152</v>
      </c>
      <c r="B11" s="8" t="s">
        <v>153</v>
      </c>
      <c r="C11" s="9" t="str">
        <f t="shared" si="0"/>
        <v>521C　欧州連合日本政府代表部</v>
      </c>
    </row>
    <row r="12" spans="1:3" ht="15" customHeight="1">
      <c r="A12" t="s">
        <v>154</v>
      </c>
      <c r="B12" s="8" t="s">
        <v>155</v>
      </c>
      <c r="C12" s="9" t="str">
        <f t="shared" si="0"/>
        <v>521Z　北大西洋条約機構日本政府代表部</v>
      </c>
    </row>
    <row r="13" spans="1:3" ht="15" customHeight="1">
      <c r="A13" t="s">
        <v>156</v>
      </c>
      <c r="B13" s="8" t="s">
        <v>157</v>
      </c>
      <c r="C13" s="9" t="str">
        <f t="shared" si="0"/>
        <v>505Z　国際連合教育科学文化機関日本政府代表部</v>
      </c>
    </row>
    <row r="14" spans="1:3" ht="15" customHeight="1">
      <c r="A14" t="s">
        <v>158</v>
      </c>
      <c r="B14" s="8" t="s">
        <v>159</v>
      </c>
      <c r="C14" s="9" t="str">
        <f t="shared" si="0"/>
        <v>606A　在インド大使館</v>
      </c>
    </row>
    <row r="15" spans="1:3" ht="15" customHeight="1">
      <c r="A15" t="s">
        <v>160</v>
      </c>
      <c r="B15" s="8" t="s">
        <v>161</v>
      </c>
      <c r="C15" s="9" t="str">
        <f t="shared" si="0"/>
        <v>606V　在ベンガルール領事事務所</v>
      </c>
    </row>
    <row r="16" spans="1:3" ht="15" customHeight="1">
      <c r="A16" t="s">
        <v>162</v>
      </c>
      <c r="B16" s="8" t="s">
        <v>163</v>
      </c>
      <c r="C16" s="9" t="str">
        <f t="shared" si="0"/>
        <v>606E　在コルカタ総領事館</v>
      </c>
    </row>
    <row r="17" spans="1:3" ht="15" customHeight="1">
      <c r="A17" t="s">
        <v>164</v>
      </c>
      <c r="B17" s="8" t="s">
        <v>165</v>
      </c>
      <c r="C17" s="9" t="str">
        <f t="shared" si="0"/>
        <v>606T　在チェンナイ総領事館</v>
      </c>
    </row>
    <row r="18" spans="1:3" ht="15" customHeight="1">
      <c r="A18" t="s">
        <v>166</v>
      </c>
      <c r="B18" s="8" t="s">
        <v>167</v>
      </c>
      <c r="C18" s="9" t="str">
        <f t="shared" si="0"/>
        <v>606D　在ムンバイ総領事館</v>
      </c>
    </row>
    <row r="19" spans="1:3" ht="15" customHeight="1">
      <c r="A19" t="s">
        <v>168</v>
      </c>
      <c r="B19" s="8" t="s">
        <v>169</v>
      </c>
      <c r="C19" s="9" t="str">
        <f t="shared" si="0"/>
        <v>607A　在インドネシア大使館</v>
      </c>
    </row>
    <row r="20" spans="1:3" ht="15" customHeight="1">
      <c r="A20" t="s">
        <v>170</v>
      </c>
      <c r="B20" s="8" t="s">
        <v>171</v>
      </c>
      <c r="C20" s="9" t="str">
        <f t="shared" si="0"/>
        <v>607X　在マカッサル領事事務所</v>
      </c>
    </row>
    <row r="21" spans="1:3" ht="15" customHeight="1">
      <c r="A21" t="s">
        <v>172</v>
      </c>
      <c r="B21" s="8" t="s">
        <v>173</v>
      </c>
      <c r="C21" s="9" t="str">
        <f t="shared" si="0"/>
        <v>607U　在スラバヤ総領事館</v>
      </c>
    </row>
    <row r="22" spans="1:3" ht="15" customHeight="1">
      <c r="A22" t="s">
        <v>174</v>
      </c>
      <c r="B22" s="8" t="s">
        <v>175</v>
      </c>
      <c r="C22" s="9" t="str">
        <f t="shared" si="0"/>
        <v>607F　在デンパサール総領事館</v>
      </c>
    </row>
    <row r="23" spans="1:3" ht="15" customHeight="1">
      <c r="A23" t="s">
        <v>176</v>
      </c>
      <c r="B23" s="8" t="s">
        <v>177</v>
      </c>
      <c r="C23" s="9" t="str">
        <f t="shared" si="0"/>
        <v>607T　在メダン総領事館</v>
      </c>
    </row>
    <row r="24" spans="1:3" ht="15" customHeight="1">
      <c r="A24" t="s">
        <v>178</v>
      </c>
      <c r="B24" s="8" t="s">
        <v>179</v>
      </c>
      <c r="C24" s="9" t="str">
        <f t="shared" si="0"/>
        <v>602A　在カンボジア大使館</v>
      </c>
    </row>
    <row r="25" spans="1:3" ht="15" customHeight="1">
      <c r="A25" t="s">
        <v>180</v>
      </c>
      <c r="B25" s="8" t="s">
        <v>181</v>
      </c>
      <c r="C25" s="9" t="str">
        <f t="shared" si="0"/>
        <v>602W　在シェムリアップ領事事務所</v>
      </c>
    </row>
    <row r="26" spans="1:3" ht="15" customHeight="1">
      <c r="A26" t="s">
        <v>182</v>
      </c>
      <c r="B26" s="8" t="s">
        <v>183</v>
      </c>
      <c r="C26" s="9" t="str">
        <f t="shared" si="0"/>
        <v>609D　在シンガポール大使館</v>
      </c>
    </row>
    <row r="27" spans="1:3" ht="15" customHeight="1">
      <c r="A27" t="s">
        <v>184</v>
      </c>
      <c r="B27" s="8" t="s">
        <v>185</v>
      </c>
      <c r="C27" s="9" t="str">
        <f t="shared" si="0"/>
        <v>603A　在スリランカ大使館</v>
      </c>
    </row>
    <row r="28" spans="1:3" ht="15" customHeight="1">
      <c r="A28" t="s">
        <v>186</v>
      </c>
      <c r="B28" s="8" t="s">
        <v>187</v>
      </c>
      <c r="C28" s="9" t="str">
        <f t="shared" si="0"/>
        <v>612A　在タイ大使館</v>
      </c>
    </row>
    <row r="29" spans="1:3" ht="15" customHeight="1">
      <c r="A29" t="s">
        <v>188</v>
      </c>
      <c r="B29" s="8" t="s">
        <v>189</v>
      </c>
      <c r="C29" s="9" t="str">
        <f t="shared" si="0"/>
        <v>612E　在チェンマイ総領事館</v>
      </c>
    </row>
    <row r="30" spans="1:3" ht="15" customHeight="1">
      <c r="A30" t="s">
        <v>190</v>
      </c>
      <c r="B30" s="8" t="s">
        <v>191</v>
      </c>
      <c r="C30" s="9" t="str">
        <f t="shared" si="0"/>
        <v>616A　在大韓民国大使館</v>
      </c>
    </row>
    <row r="31" spans="1:3" ht="15" customHeight="1">
      <c r="A31" t="s">
        <v>192</v>
      </c>
      <c r="B31" s="8" t="s">
        <v>193</v>
      </c>
      <c r="C31" s="9" t="str">
        <f t="shared" si="0"/>
        <v>616F　在済州総領事館</v>
      </c>
    </row>
    <row r="32" spans="1:3" ht="15" customHeight="1">
      <c r="A32" t="s">
        <v>194</v>
      </c>
      <c r="B32" s="8" t="s">
        <v>195</v>
      </c>
      <c r="C32" s="9" t="str">
        <f t="shared" si="0"/>
        <v>616D　在釜山総領事館</v>
      </c>
    </row>
    <row r="33" spans="1:3" ht="15" customHeight="1">
      <c r="A33" t="s">
        <v>196</v>
      </c>
      <c r="B33" s="8" t="s">
        <v>197</v>
      </c>
      <c r="C33" s="9" t="str">
        <f t="shared" si="0"/>
        <v>619A　在中華人民共和国大使館</v>
      </c>
    </row>
    <row r="34" spans="1:3" ht="15" customHeight="1">
      <c r="A34" t="s">
        <v>198</v>
      </c>
      <c r="B34" s="8" t="s">
        <v>199</v>
      </c>
      <c r="C34" s="9" t="str">
        <f t="shared" si="0"/>
        <v>619E　在広州総領事館</v>
      </c>
    </row>
    <row r="35" spans="1:3" ht="15" customHeight="1">
      <c r="A35" t="s">
        <v>200</v>
      </c>
      <c r="B35" s="8" t="s">
        <v>201</v>
      </c>
      <c r="C35" s="9" t="str">
        <f t="shared" si="0"/>
        <v>619D　在上海総領事館</v>
      </c>
    </row>
    <row r="36" spans="1:3" ht="15" customHeight="1">
      <c r="A36" t="s">
        <v>202</v>
      </c>
      <c r="B36" s="8" t="s">
        <v>203</v>
      </c>
      <c r="C36" s="9" t="str">
        <f t="shared" si="0"/>
        <v>619F　在瀋陽総領事館</v>
      </c>
    </row>
    <row r="37" spans="1:3" ht="15" customHeight="1">
      <c r="A37" t="s">
        <v>204</v>
      </c>
      <c r="B37" s="8" t="s">
        <v>205</v>
      </c>
      <c r="C37" s="9" t="str">
        <f t="shared" si="0"/>
        <v>619G　在大連領事事務所</v>
      </c>
    </row>
    <row r="38" spans="1:3" ht="15" customHeight="1">
      <c r="A38" t="s">
        <v>206</v>
      </c>
      <c r="B38" s="8" t="s">
        <v>207</v>
      </c>
      <c r="C38" s="9" t="str">
        <f t="shared" si="0"/>
        <v>619I　在青島総領事館</v>
      </c>
    </row>
    <row r="39" spans="1:3" ht="15" customHeight="1">
      <c r="A39" t="s">
        <v>208</v>
      </c>
      <c r="B39" s="8" t="s">
        <v>209</v>
      </c>
      <c r="C39" s="9" t="str">
        <f t="shared" si="0"/>
        <v>605D　在香港総領事館</v>
      </c>
    </row>
    <row r="40" spans="1:3" ht="15" customHeight="1">
      <c r="A40" t="s">
        <v>210</v>
      </c>
      <c r="B40" s="8" t="s">
        <v>211</v>
      </c>
      <c r="C40" s="9" t="str">
        <f t="shared" si="0"/>
        <v>619H　在重慶総領事館</v>
      </c>
    </row>
    <row r="41" spans="1:3" ht="15" customHeight="1">
      <c r="A41" t="s">
        <v>212</v>
      </c>
      <c r="B41" s="8" t="s">
        <v>213</v>
      </c>
      <c r="C41" s="9" t="str">
        <f t="shared" si="0"/>
        <v>617A　在ネパール大使館</v>
      </c>
    </row>
    <row r="42" spans="1:3" ht="15" customHeight="1">
      <c r="A42" t="s">
        <v>214</v>
      </c>
      <c r="B42" s="8" t="s">
        <v>215</v>
      </c>
      <c r="C42" s="9" t="str">
        <f t="shared" si="0"/>
        <v>610A　在パキスタン大使館</v>
      </c>
    </row>
    <row r="43" spans="1:3" ht="15" customHeight="1">
      <c r="A43" t="s">
        <v>216</v>
      </c>
      <c r="B43" s="8" t="s">
        <v>217</v>
      </c>
      <c r="C43" s="9" t="str">
        <f t="shared" si="0"/>
        <v>610E　在カラチ総領事館</v>
      </c>
    </row>
    <row r="44" spans="1:3" ht="15" customHeight="1">
      <c r="A44" t="s">
        <v>218</v>
      </c>
      <c r="B44" s="8" t="s">
        <v>219</v>
      </c>
      <c r="C44" s="9" t="str">
        <f t="shared" si="0"/>
        <v>610D　在バングラデシュ大使館</v>
      </c>
    </row>
    <row r="45" spans="1:3" ht="15" customHeight="1">
      <c r="A45" t="s">
        <v>220</v>
      </c>
      <c r="B45" s="8" t="s">
        <v>221</v>
      </c>
      <c r="C45" s="9" t="str">
        <f t="shared" si="0"/>
        <v>630A　在東ティモール大使館</v>
      </c>
    </row>
    <row r="46" spans="1:3" ht="15" customHeight="1">
      <c r="A46" t="s">
        <v>222</v>
      </c>
      <c r="B46" s="8" t="s">
        <v>223</v>
      </c>
      <c r="C46" s="9" t="str">
        <f t="shared" si="0"/>
        <v>611A　在フィリピン大使館</v>
      </c>
    </row>
    <row r="47" spans="1:3" ht="15" customHeight="1">
      <c r="A47" t="s">
        <v>224</v>
      </c>
      <c r="B47" s="8" t="s">
        <v>225</v>
      </c>
      <c r="C47" s="9" t="str">
        <f t="shared" si="0"/>
        <v>064D　在セブ領事事務所</v>
      </c>
    </row>
    <row r="48" spans="1:3" ht="15" customHeight="1">
      <c r="A48" t="s">
        <v>226</v>
      </c>
      <c r="B48" s="8" t="s">
        <v>227</v>
      </c>
      <c r="C48" s="9" t="str">
        <f t="shared" si="0"/>
        <v>064C　在ダバオ領事事務所</v>
      </c>
    </row>
    <row r="49" spans="1:3" ht="15" customHeight="1">
      <c r="A49" t="s">
        <v>228</v>
      </c>
      <c r="B49" s="8" t="s">
        <v>229</v>
      </c>
      <c r="C49" s="9" t="str">
        <f t="shared" si="0"/>
        <v>625A　在ブルネイ大使館</v>
      </c>
    </row>
    <row r="50" spans="1:3" ht="15" customHeight="1">
      <c r="A50" t="s">
        <v>230</v>
      </c>
      <c r="B50" s="8" t="s">
        <v>231</v>
      </c>
      <c r="C50" s="9" t="str">
        <f t="shared" si="0"/>
        <v>620A　在ベトナム大使館</v>
      </c>
    </row>
    <row r="51" spans="1:3" ht="15" customHeight="1">
      <c r="A51" t="s">
        <v>232</v>
      </c>
      <c r="B51" s="8" t="s">
        <v>233</v>
      </c>
      <c r="C51" s="9" t="str">
        <f t="shared" si="0"/>
        <v>620D　在ホーチミン総領事館</v>
      </c>
    </row>
    <row r="52" spans="1:3" ht="15" customHeight="1">
      <c r="A52" t="s">
        <v>234</v>
      </c>
      <c r="B52" s="8" t="s">
        <v>235</v>
      </c>
      <c r="C52" s="9" t="str">
        <f t="shared" si="0"/>
        <v>620W　在ダナン領事事務所</v>
      </c>
    </row>
    <row r="53" spans="1:3" ht="15" customHeight="1">
      <c r="A53" t="s">
        <v>236</v>
      </c>
      <c r="B53" s="8" t="s">
        <v>237</v>
      </c>
      <c r="C53" s="9" t="str">
        <f t="shared" si="0"/>
        <v>609A　在マレーシア大使館</v>
      </c>
    </row>
    <row r="54" spans="1:3" ht="15" customHeight="1">
      <c r="A54" t="s">
        <v>238</v>
      </c>
      <c r="B54" s="8" t="s">
        <v>239</v>
      </c>
      <c r="C54" s="9" t="str">
        <f t="shared" si="0"/>
        <v>609W　在コタキナバル領事事務所</v>
      </c>
    </row>
    <row r="55" spans="1:3" ht="15" customHeight="1">
      <c r="A55" t="s">
        <v>240</v>
      </c>
      <c r="B55" s="8" t="s">
        <v>241</v>
      </c>
      <c r="C55" s="9" t="str">
        <f t="shared" si="0"/>
        <v>609E　在ペナン総領事館</v>
      </c>
    </row>
    <row r="56" spans="1:3" ht="15" customHeight="1">
      <c r="A56" t="s">
        <v>242</v>
      </c>
      <c r="B56" s="8" t="s">
        <v>243</v>
      </c>
      <c r="C56" s="9" t="str">
        <f t="shared" si="0"/>
        <v>601A　在ミャンマー大使館</v>
      </c>
    </row>
    <row r="57" spans="1:3" ht="15" customHeight="1">
      <c r="A57" t="s">
        <v>244</v>
      </c>
      <c r="B57" s="8" t="s">
        <v>245</v>
      </c>
      <c r="C57" s="9" t="str">
        <f t="shared" si="0"/>
        <v>638A　在モルディブ大使館</v>
      </c>
    </row>
    <row r="58" spans="1:3" ht="15" customHeight="1">
      <c r="A58" t="s">
        <v>246</v>
      </c>
      <c r="B58" s="8" t="s">
        <v>247</v>
      </c>
      <c r="C58" s="9" t="str">
        <f t="shared" si="0"/>
        <v>618A　在モンゴル大使館</v>
      </c>
    </row>
    <row r="59" spans="1:3" ht="15" customHeight="1">
      <c r="A59" t="s">
        <v>248</v>
      </c>
      <c r="B59" s="8" t="s">
        <v>249</v>
      </c>
      <c r="C59" s="9" t="str">
        <f t="shared" si="0"/>
        <v>608A　在ラオス大使館</v>
      </c>
    </row>
    <row r="60" spans="1:3" ht="15" customHeight="1">
      <c r="A60" t="s">
        <v>250</v>
      </c>
      <c r="B60" s="8" t="s">
        <v>251</v>
      </c>
      <c r="C60" s="9" t="str">
        <f t="shared" si="0"/>
        <v>632A　（台北事務所）</v>
      </c>
    </row>
    <row r="61" spans="1:3" ht="15" customHeight="1">
      <c r="A61" t="s">
        <v>252</v>
      </c>
      <c r="B61" s="8" t="s">
        <v>253</v>
      </c>
      <c r="C61" s="9" t="str">
        <f t="shared" si="0"/>
        <v>632B　（高雄事務所）</v>
      </c>
    </row>
    <row r="62" spans="1:3" ht="15" customHeight="1">
      <c r="A62" t="s">
        <v>254</v>
      </c>
      <c r="B62" s="8" t="s">
        <v>255</v>
      </c>
      <c r="C62" s="9" t="str">
        <f t="shared" si="0"/>
        <v>614A　在オーストラリア大使館</v>
      </c>
    </row>
    <row r="63" spans="1:3" ht="15" customHeight="1">
      <c r="A63" t="s">
        <v>256</v>
      </c>
      <c r="B63" s="8" t="s">
        <v>257</v>
      </c>
      <c r="C63" s="9" t="str">
        <f t="shared" si="0"/>
        <v>614D　在シドニー総領事館</v>
      </c>
    </row>
    <row r="64" spans="1:3" ht="15" customHeight="1">
      <c r="A64" t="s">
        <v>258</v>
      </c>
      <c r="B64" s="8" t="s">
        <v>259</v>
      </c>
      <c r="C64" s="9" t="str">
        <f t="shared" si="0"/>
        <v>614F　在パース総領事館</v>
      </c>
    </row>
    <row r="65" spans="1:3" ht="15" customHeight="1">
      <c r="A65" t="s">
        <v>260</v>
      </c>
      <c r="B65" s="8" t="s">
        <v>261</v>
      </c>
      <c r="C65" s="9" t="str">
        <f t="shared" si="0"/>
        <v>614T　在ブリスベン総領事館</v>
      </c>
    </row>
    <row r="66" spans="1:3" ht="15" customHeight="1">
      <c r="A66" t="s">
        <v>262</v>
      </c>
      <c r="B66" s="8" t="s">
        <v>263</v>
      </c>
      <c r="C66" s="9" t="str">
        <f t="shared" si="0"/>
        <v>614V　在ケアンズ領事事務所</v>
      </c>
    </row>
    <row r="67" spans="1:3" ht="15" customHeight="1">
      <c r="A67" t="s">
        <v>264</v>
      </c>
      <c r="B67" s="8" t="s">
        <v>265</v>
      </c>
      <c r="C67" s="9" t="str">
        <f t="shared" si="0"/>
        <v>614E　在メルボルン総領事館</v>
      </c>
    </row>
    <row r="68" spans="1:3" ht="15" customHeight="1">
      <c r="A68" t="s">
        <v>266</v>
      </c>
      <c r="B68" s="8" t="s">
        <v>267</v>
      </c>
      <c r="C68" s="9" t="str">
        <f t="shared" ref="C68:C131" si="1">A68&amp;"　"&amp;B68</f>
        <v>641A　在キリバス大使館</v>
      </c>
    </row>
    <row r="69" spans="1:3" ht="15" customHeight="1">
      <c r="A69" t="s">
        <v>268</v>
      </c>
      <c r="B69" s="8" t="s">
        <v>269</v>
      </c>
      <c r="C69" s="9" t="str">
        <f t="shared" si="1"/>
        <v>637A　在サモア大使館</v>
      </c>
    </row>
    <row r="70" spans="1:3" ht="15" customHeight="1">
      <c r="A70" t="s">
        <v>270</v>
      </c>
      <c r="B70" s="8" t="s">
        <v>271</v>
      </c>
      <c r="C70" s="9" t="str">
        <f t="shared" si="1"/>
        <v>624A　在ソロモン大使館</v>
      </c>
    </row>
    <row r="71" spans="1:3" ht="15" customHeight="1">
      <c r="A71" t="s">
        <v>272</v>
      </c>
      <c r="B71" s="8" t="s">
        <v>273</v>
      </c>
      <c r="C71" s="9" t="str">
        <f t="shared" si="1"/>
        <v>635A　在トンガ大使館</v>
      </c>
    </row>
    <row r="72" spans="1:3" ht="15" customHeight="1">
      <c r="A72" t="s">
        <v>274</v>
      </c>
      <c r="B72" s="8" t="s">
        <v>275</v>
      </c>
      <c r="C72" s="9" t="str">
        <f t="shared" si="1"/>
        <v>615A　在ニュージーランド大使館</v>
      </c>
    </row>
    <row r="73" spans="1:3" ht="15" customHeight="1">
      <c r="A73" t="s">
        <v>276</v>
      </c>
      <c r="B73" s="8" t="s">
        <v>277</v>
      </c>
      <c r="C73" s="9" t="str">
        <f t="shared" si="1"/>
        <v>065C　在クライストチャーチ領事事務所</v>
      </c>
    </row>
    <row r="74" spans="1:3" ht="15" customHeight="1">
      <c r="A74" t="s">
        <v>278</v>
      </c>
      <c r="B74" s="8" t="s">
        <v>279</v>
      </c>
      <c r="C74" s="9" t="str">
        <f t="shared" si="1"/>
        <v>615T　在オークランド総領事館</v>
      </c>
    </row>
    <row r="75" spans="1:3" ht="15" customHeight="1">
      <c r="A75" t="s">
        <v>280</v>
      </c>
      <c r="B75" s="8" t="s">
        <v>281</v>
      </c>
      <c r="C75" s="9" t="str">
        <f t="shared" si="1"/>
        <v>640A　在バヌアツ大使館</v>
      </c>
    </row>
    <row r="76" spans="1:3" ht="15" customHeight="1">
      <c r="A76" t="s">
        <v>282</v>
      </c>
      <c r="B76" s="8" t="s">
        <v>283</v>
      </c>
      <c r="C76" s="9" t="str">
        <f t="shared" si="1"/>
        <v>622A　在パプアニューギニア大使館</v>
      </c>
    </row>
    <row r="77" spans="1:3" ht="15" customHeight="1">
      <c r="A77" t="s">
        <v>284</v>
      </c>
      <c r="B77" s="8" t="s">
        <v>285</v>
      </c>
      <c r="C77" s="9" t="str">
        <f t="shared" si="1"/>
        <v>628A　在パラオ大使館</v>
      </c>
    </row>
    <row r="78" spans="1:3" ht="15" customHeight="1">
      <c r="A78" t="s">
        <v>286</v>
      </c>
      <c r="B78" s="8" t="s">
        <v>287</v>
      </c>
      <c r="C78" s="9" t="str">
        <f t="shared" si="1"/>
        <v>623A　在フィジー大使館</v>
      </c>
    </row>
    <row r="79" spans="1:3" ht="15" customHeight="1">
      <c r="A79" t="s">
        <v>288</v>
      </c>
      <c r="B79" s="8" t="s">
        <v>289</v>
      </c>
      <c r="C79" s="9" t="str">
        <f t="shared" si="1"/>
        <v>629A　在マーシャル大使館</v>
      </c>
    </row>
    <row r="80" spans="1:3" ht="15" customHeight="1">
      <c r="A80" t="s">
        <v>290</v>
      </c>
      <c r="B80" s="8" t="s">
        <v>291</v>
      </c>
      <c r="C80" s="9" t="str">
        <f t="shared" si="1"/>
        <v>627A　在ミクロネシア大使館</v>
      </c>
    </row>
    <row r="81" spans="1:3" ht="15" customHeight="1">
      <c r="A81" t="s">
        <v>292</v>
      </c>
      <c r="B81" s="8" t="s">
        <v>293</v>
      </c>
      <c r="C81" s="9" t="str">
        <f t="shared" si="1"/>
        <v>301A　在アメリカ合衆国大使館</v>
      </c>
    </row>
    <row r="82" spans="1:3" ht="15" customHeight="1">
      <c r="A82" t="s">
        <v>294</v>
      </c>
      <c r="B82" s="8" t="s">
        <v>295</v>
      </c>
      <c r="C82" s="9" t="str">
        <f t="shared" si="1"/>
        <v>301K　在アトランタ総領事館</v>
      </c>
    </row>
    <row r="83" spans="1:3" ht="15" customHeight="1">
      <c r="A83" t="s">
        <v>296</v>
      </c>
      <c r="B83" s="8" t="s">
        <v>297</v>
      </c>
      <c r="C83" s="9" t="str">
        <f t="shared" si="1"/>
        <v>301I　在サンフランシスコ総領事館</v>
      </c>
    </row>
    <row r="84" spans="1:3" ht="15" customHeight="1">
      <c r="A84" t="s">
        <v>298</v>
      </c>
      <c r="B84" s="8" t="s">
        <v>299</v>
      </c>
      <c r="C84" s="9" t="str">
        <f t="shared" si="1"/>
        <v>301J　在シアトル総領事館</v>
      </c>
    </row>
    <row r="85" spans="1:3" ht="15" customHeight="1">
      <c r="A85" t="s">
        <v>300</v>
      </c>
      <c r="B85" s="8" t="s">
        <v>301</v>
      </c>
      <c r="C85" s="9" t="str">
        <f t="shared" si="1"/>
        <v>301Z　在アンカレジ領事事務所</v>
      </c>
    </row>
    <row r="86" spans="1:3" ht="15" customHeight="1">
      <c r="A86" t="s">
        <v>302</v>
      </c>
      <c r="B86" s="8" t="s">
        <v>303</v>
      </c>
      <c r="C86" s="9" t="str">
        <f t="shared" si="1"/>
        <v>301D　在シカゴ総領事館</v>
      </c>
    </row>
    <row r="87" spans="1:3" ht="15" customHeight="1">
      <c r="A87" t="s">
        <v>304</v>
      </c>
      <c r="B87" s="8" t="s">
        <v>305</v>
      </c>
      <c r="C87" s="9" t="str">
        <f t="shared" si="1"/>
        <v>301R　在デトロイト総領事館</v>
      </c>
    </row>
    <row r="88" spans="1:3" ht="15" customHeight="1">
      <c r="A88" t="s">
        <v>306</v>
      </c>
      <c r="B88" s="8" t="s">
        <v>307</v>
      </c>
      <c r="C88" s="9" t="str">
        <f t="shared" si="1"/>
        <v>301S　在デンバー総領事館</v>
      </c>
    </row>
    <row r="89" spans="1:3" ht="15" customHeight="1">
      <c r="A89" t="s">
        <v>308</v>
      </c>
      <c r="B89" s="8" t="s">
        <v>309</v>
      </c>
      <c r="C89" s="9" t="str">
        <f t="shared" si="1"/>
        <v>301X　在ナッシュビル総領事館</v>
      </c>
    </row>
    <row r="90" spans="1:3" ht="15" customHeight="1">
      <c r="A90" t="s">
        <v>310</v>
      </c>
      <c r="B90" s="8" t="s">
        <v>311</v>
      </c>
      <c r="C90" s="9" t="str">
        <f t="shared" si="1"/>
        <v>301H　在ニューヨーク総領事館</v>
      </c>
    </row>
    <row r="91" spans="1:3" ht="15" customHeight="1">
      <c r="A91" t="s">
        <v>312</v>
      </c>
      <c r="B91" s="8" t="s">
        <v>313</v>
      </c>
      <c r="C91" s="9" t="str">
        <f t="shared" si="1"/>
        <v>301M　在ハガッニャ総領事館</v>
      </c>
    </row>
    <row r="92" spans="1:3" ht="15" customHeight="1">
      <c r="A92" t="s">
        <v>314</v>
      </c>
      <c r="B92" s="8" t="s">
        <v>315</v>
      </c>
      <c r="C92" s="9" t="str">
        <f t="shared" si="1"/>
        <v>067C　在サイパン領事事務所</v>
      </c>
    </row>
    <row r="93" spans="1:3" ht="15" customHeight="1">
      <c r="A93" t="s">
        <v>316</v>
      </c>
      <c r="B93" s="8" t="s">
        <v>317</v>
      </c>
      <c r="C93" s="9" t="str">
        <f t="shared" si="1"/>
        <v>301T　在ヒューストン総領事館</v>
      </c>
    </row>
    <row r="94" spans="1:3" ht="15" customHeight="1">
      <c r="A94" t="s">
        <v>318</v>
      </c>
      <c r="B94" s="8" t="s">
        <v>319</v>
      </c>
      <c r="C94" s="9" t="str">
        <f t="shared" si="1"/>
        <v>301W　在ポートランド領事事務所</v>
      </c>
    </row>
    <row r="95" spans="1:3" ht="15" customHeight="1">
      <c r="A95" t="s">
        <v>320</v>
      </c>
      <c r="B95" s="8" t="s">
        <v>321</v>
      </c>
      <c r="C95" s="9" t="str">
        <f t="shared" si="1"/>
        <v>301V　在ボストン総領事館</v>
      </c>
    </row>
    <row r="96" spans="1:3" ht="15" customHeight="1">
      <c r="A96" t="s">
        <v>322</v>
      </c>
      <c r="B96" s="8" t="s">
        <v>323</v>
      </c>
      <c r="C96" s="9" t="str">
        <f t="shared" si="1"/>
        <v>301E　在ホノルル総領事館</v>
      </c>
    </row>
    <row r="97" spans="1:3" ht="15" customHeight="1">
      <c r="A97" t="s">
        <v>324</v>
      </c>
      <c r="B97" s="8" t="s">
        <v>325</v>
      </c>
      <c r="C97" s="9" t="str">
        <f t="shared" si="1"/>
        <v>301P　在マイアミ総領事館</v>
      </c>
    </row>
    <row r="98" spans="1:3" ht="15" customHeight="1">
      <c r="A98" t="s">
        <v>326</v>
      </c>
      <c r="B98" s="8" t="s">
        <v>327</v>
      </c>
      <c r="C98" s="9" t="str">
        <f t="shared" si="1"/>
        <v>301F　在ロサンゼルス総領事館</v>
      </c>
    </row>
    <row r="99" spans="1:3" ht="15" customHeight="1">
      <c r="A99" t="s">
        <v>328</v>
      </c>
      <c r="B99" s="8" t="s">
        <v>329</v>
      </c>
      <c r="C99" s="9" t="str">
        <f t="shared" si="1"/>
        <v>302A　在カナダ大使館</v>
      </c>
    </row>
    <row r="100" spans="1:3" ht="15" customHeight="1">
      <c r="A100" t="s">
        <v>330</v>
      </c>
      <c r="B100" s="8" t="s">
        <v>331</v>
      </c>
      <c r="C100" s="9" t="str">
        <f t="shared" si="1"/>
        <v>302F　在カルガリー総領事館</v>
      </c>
    </row>
    <row r="101" spans="1:3" ht="15" customHeight="1">
      <c r="A101" t="s">
        <v>332</v>
      </c>
      <c r="B101" s="8" t="s">
        <v>333</v>
      </c>
      <c r="C101" s="9" t="str">
        <f t="shared" si="1"/>
        <v>302T　在トロント総領事館</v>
      </c>
    </row>
    <row r="102" spans="1:3" ht="15" customHeight="1">
      <c r="A102" t="s">
        <v>334</v>
      </c>
      <c r="B102" s="8" t="s">
        <v>335</v>
      </c>
      <c r="C102" s="9" t="str">
        <f t="shared" si="1"/>
        <v>302E　在バンクーバー総領事館</v>
      </c>
    </row>
    <row r="103" spans="1:3" ht="15" customHeight="1">
      <c r="A103" t="s">
        <v>336</v>
      </c>
      <c r="B103" s="8" t="s">
        <v>337</v>
      </c>
      <c r="C103" s="9" t="str">
        <f t="shared" si="1"/>
        <v>302D　在モントリオール総領事館</v>
      </c>
    </row>
    <row r="104" spans="1:3" ht="15" customHeight="1">
      <c r="A104" t="s">
        <v>338</v>
      </c>
      <c r="B104" s="8" t="s">
        <v>339</v>
      </c>
      <c r="C104" s="9" t="str">
        <f t="shared" si="1"/>
        <v>401A　在アルゼンチン大使館</v>
      </c>
    </row>
    <row r="105" spans="1:3" ht="15" customHeight="1">
      <c r="A105" t="s">
        <v>340</v>
      </c>
      <c r="B105" s="8" t="s">
        <v>341</v>
      </c>
      <c r="C105" s="9" t="str">
        <f t="shared" si="1"/>
        <v>413A　在ウルグアイ大使館</v>
      </c>
    </row>
    <row r="106" spans="1:3" ht="15" customHeight="1">
      <c r="A106" t="s">
        <v>342</v>
      </c>
      <c r="B106" s="8" t="s">
        <v>343</v>
      </c>
      <c r="C106" s="9" t="str">
        <f t="shared" si="1"/>
        <v>408A　在エクアドル大使館</v>
      </c>
    </row>
    <row r="107" spans="1:3" ht="15" customHeight="1">
      <c r="A107" t="s">
        <v>344</v>
      </c>
      <c r="B107" s="8" t="s">
        <v>345</v>
      </c>
      <c r="C107" s="9" t="str">
        <f t="shared" si="1"/>
        <v>409A　在エルサルバドル大使館</v>
      </c>
    </row>
    <row r="108" spans="1:3" ht="15" customHeight="1">
      <c r="A108" t="s">
        <v>346</v>
      </c>
      <c r="B108" s="8" t="s">
        <v>347</v>
      </c>
      <c r="C108" s="9" t="str">
        <f t="shared" si="1"/>
        <v>406A　在キューバ大使館</v>
      </c>
    </row>
    <row r="109" spans="1:3" ht="15" customHeight="1">
      <c r="A109" t="s">
        <v>348</v>
      </c>
      <c r="B109" s="8" t="s">
        <v>349</v>
      </c>
      <c r="C109" s="9" t="str">
        <f t="shared" si="1"/>
        <v>418A　在グアテマラ大使館</v>
      </c>
    </row>
    <row r="110" spans="1:3" ht="15" customHeight="1">
      <c r="A110" t="s">
        <v>350</v>
      </c>
      <c r="B110" s="8" t="s">
        <v>351</v>
      </c>
      <c r="C110" s="9" t="str">
        <f t="shared" si="1"/>
        <v>417A　在コスタリカ大使館</v>
      </c>
    </row>
    <row r="111" spans="1:3" ht="15" customHeight="1">
      <c r="A111" t="s">
        <v>352</v>
      </c>
      <c r="B111" s="8" t="s">
        <v>353</v>
      </c>
      <c r="C111" s="9" t="str">
        <f t="shared" si="1"/>
        <v>405A　在コロンビア大使館</v>
      </c>
    </row>
    <row r="112" spans="1:3" ht="15" customHeight="1">
      <c r="A112" t="s">
        <v>354</v>
      </c>
      <c r="B112" s="8" t="s">
        <v>355</v>
      </c>
      <c r="C112" s="9" t="str">
        <f t="shared" si="1"/>
        <v>420A　在ジャマイカ大使館</v>
      </c>
    </row>
    <row r="113" spans="1:3" ht="15" customHeight="1">
      <c r="A113" t="s">
        <v>356</v>
      </c>
      <c r="B113" s="8" t="s">
        <v>357</v>
      </c>
      <c r="C113" s="9" t="str">
        <f t="shared" si="1"/>
        <v>404A　在チリ大使館</v>
      </c>
    </row>
    <row r="114" spans="1:3" ht="15" customHeight="1">
      <c r="A114" t="s">
        <v>358</v>
      </c>
      <c r="B114" s="8" t="s">
        <v>359</v>
      </c>
      <c r="C114" s="9" t="str">
        <f t="shared" si="1"/>
        <v>407A　在ドミニカ共和国大使館</v>
      </c>
    </row>
    <row r="115" spans="1:3" ht="15" customHeight="1">
      <c r="A115" t="s">
        <v>360</v>
      </c>
      <c r="B115" s="8" t="s">
        <v>361</v>
      </c>
      <c r="C115" s="9" t="str">
        <f t="shared" si="1"/>
        <v>424A　在トリニダード・トバゴ大使館</v>
      </c>
    </row>
    <row r="116" spans="1:3" ht="15" customHeight="1">
      <c r="A116" t="s">
        <v>362</v>
      </c>
      <c r="B116" s="8" t="s">
        <v>363</v>
      </c>
      <c r="C116" s="9" t="str">
        <f t="shared" si="1"/>
        <v>416A　在ニカラグア大使館</v>
      </c>
    </row>
    <row r="117" spans="1:3" ht="15" customHeight="1">
      <c r="A117" t="s">
        <v>364</v>
      </c>
      <c r="B117" s="8" t="s">
        <v>365</v>
      </c>
      <c r="C117" s="9" t="str">
        <f t="shared" si="1"/>
        <v>421A　在ハイチ大使館</v>
      </c>
    </row>
    <row r="118" spans="1:3" ht="15" customHeight="1">
      <c r="A118" t="s">
        <v>366</v>
      </c>
      <c r="B118" s="8" t="s">
        <v>367</v>
      </c>
      <c r="C118" s="9" t="str">
        <f t="shared" si="1"/>
        <v>415A　在パナマ大使館</v>
      </c>
    </row>
    <row r="119" spans="1:3" ht="15" customHeight="1">
      <c r="A119" t="s">
        <v>368</v>
      </c>
      <c r="B119" s="8" t="s">
        <v>369</v>
      </c>
      <c r="C119" s="9" t="str">
        <f t="shared" si="1"/>
        <v>411A　在パラグアイ大使館</v>
      </c>
    </row>
    <row r="120" spans="1:3" ht="15" customHeight="1">
      <c r="A120" t="s">
        <v>370</v>
      </c>
      <c r="B120" s="8" t="s">
        <v>371</v>
      </c>
      <c r="C120" s="9" t="str">
        <f t="shared" si="1"/>
        <v>411E　在エンカルナシオン領事事務所</v>
      </c>
    </row>
    <row r="121" spans="1:3" ht="15" customHeight="1">
      <c r="A121" t="s">
        <v>372</v>
      </c>
      <c r="B121" s="8" t="s">
        <v>373</v>
      </c>
      <c r="C121" s="9" t="str">
        <f t="shared" si="1"/>
        <v>429A　在バルバドス大使館</v>
      </c>
    </row>
    <row r="122" spans="1:3" ht="15" customHeight="1">
      <c r="A122" t="s">
        <v>374</v>
      </c>
      <c r="B122" s="8" t="s">
        <v>375</v>
      </c>
      <c r="C122" s="9" t="str">
        <f t="shared" si="1"/>
        <v>403A　在ブラジル大使館</v>
      </c>
    </row>
    <row r="123" spans="1:3" ht="15" customHeight="1">
      <c r="A123" t="s">
        <v>376</v>
      </c>
      <c r="B123" s="8" t="s">
        <v>377</v>
      </c>
      <c r="C123" s="9" t="str">
        <f t="shared" si="1"/>
        <v>403X　在ベレン領事事務所</v>
      </c>
    </row>
    <row r="124" spans="1:3" ht="15" customHeight="1">
      <c r="A124" t="s">
        <v>378</v>
      </c>
      <c r="B124" s="8" t="s">
        <v>379</v>
      </c>
      <c r="C124" s="9" t="str">
        <f t="shared" si="1"/>
        <v>403W　在レシフェ領事事務所</v>
      </c>
    </row>
    <row r="125" spans="1:3" ht="15" customHeight="1">
      <c r="A125" t="s">
        <v>380</v>
      </c>
      <c r="B125" s="8" t="s">
        <v>381</v>
      </c>
      <c r="C125" s="9" t="str">
        <f t="shared" si="1"/>
        <v>403U　在クリチバ総領事館</v>
      </c>
    </row>
    <row r="126" spans="1:3" ht="15" customHeight="1">
      <c r="A126" t="s">
        <v>382</v>
      </c>
      <c r="B126" s="8" t="s">
        <v>383</v>
      </c>
      <c r="C126" s="9" t="str">
        <f t="shared" si="1"/>
        <v>403V　在ポルトアレグレ領事事務所</v>
      </c>
    </row>
    <row r="127" spans="1:3" ht="15" customHeight="1">
      <c r="A127" t="s">
        <v>384</v>
      </c>
      <c r="B127" s="8" t="s">
        <v>385</v>
      </c>
      <c r="C127" s="9" t="str">
        <f t="shared" si="1"/>
        <v>403G　在サンパウロ総領事館</v>
      </c>
    </row>
    <row r="128" spans="1:3" ht="15" customHeight="1">
      <c r="A128" t="s">
        <v>386</v>
      </c>
      <c r="B128" s="8" t="s">
        <v>387</v>
      </c>
      <c r="C128" s="9" t="str">
        <f t="shared" si="1"/>
        <v>403T　在マナウス総領事館</v>
      </c>
    </row>
    <row r="129" spans="1:3" ht="15" customHeight="1">
      <c r="A129" t="s">
        <v>388</v>
      </c>
      <c r="B129" s="8" t="s">
        <v>389</v>
      </c>
      <c r="C129" s="9" t="str">
        <f t="shared" si="1"/>
        <v>403H　在リオデジャネイロ総領事館</v>
      </c>
    </row>
    <row r="130" spans="1:3" ht="15" customHeight="1">
      <c r="A130" t="s">
        <v>390</v>
      </c>
      <c r="B130" s="8" t="s">
        <v>391</v>
      </c>
      <c r="C130" s="9" t="str">
        <f t="shared" si="1"/>
        <v>414A　在ベネズエラ大使館</v>
      </c>
    </row>
    <row r="131" spans="1:3" ht="15" customHeight="1">
      <c r="A131" t="s">
        <v>392</v>
      </c>
      <c r="B131" s="8" t="s">
        <v>393</v>
      </c>
      <c r="C131" s="9" t="str">
        <f t="shared" si="1"/>
        <v>412A　在ペルー大使館</v>
      </c>
    </row>
    <row r="132" spans="1:3" ht="15" customHeight="1">
      <c r="A132" t="s">
        <v>394</v>
      </c>
      <c r="B132" s="8" t="s">
        <v>395</v>
      </c>
      <c r="C132" s="9" t="str">
        <f t="shared" ref="C132:C195" si="2">A132&amp;"　"&amp;B132</f>
        <v>402A　在ボリビア大使館</v>
      </c>
    </row>
    <row r="133" spans="1:3" ht="15" customHeight="1">
      <c r="A133" t="s">
        <v>396</v>
      </c>
      <c r="B133" s="8" t="s">
        <v>397</v>
      </c>
      <c r="C133" s="9" t="str">
        <f t="shared" si="2"/>
        <v>002A　在サンタクルス領事事務所</v>
      </c>
    </row>
    <row r="134" spans="1:3" ht="15" customHeight="1">
      <c r="A134" t="s">
        <v>398</v>
      </c>
      <c r="B134" s="8" t="s">
        <v>399</v>
      </c>
      <c r="C134" s="9" t="str">
        <f t="shared" si="2"/>
        <v>426A　在ベリーズ大使館</v>
      </c>
    </row>
    <row r="135" spans="1:3" ht="15" customHeight="1">
      <c r="A135" t="s">
        <v>400</v>
      </c>
      <c r="B135" s="8" t="s">
        <v>401</v>
      </c>
      <c r="C135" s="9" t="str">
        <f t="shared" si="2"/>
        <v>419A　在ホンジュラス大使館</v>
      </c>
    </row>
    <row r="136" spans="1:3" ht="15" customHeight="1">
      <c r="A136" t="s">
        <v>402</v>
      </c>
      <c r="B136" s="8" t="s">
        <v>403</v>
      </c>
      <c r="C136" s="9" t="str">
        <f t="shared" si="2"/>
        <v>410A　在メキシコ大使館</v>
      </c>
    </row>
    <row r="137" spans="1:3" ht="15" customHeight="1">
      <c r="A137" t="s">
        <v>404</v>
      </c>
      <c r="B137" s="8" t="s">
        <v>405</v>
      </c>
      <c r="C137" s="9" t="str">
        <f t="shared" si="2"/>
        <v>410D　在レオン総領事館</v>
      </c>
    </row>
    <row r="138" spans="1:3" ht="15" customHeight="1">
      <c r="A138" t="s">
        <v>406</v>
      </c>
      <c r="B138" s="8" t="s">
        <v>407</v>
      </c>
      <c r="C138" s="9" t="str">
        <f t="shared" si="2"/>
        <v>518B　在アイスランド大使館</v>
      </c>
    </row>
    <row r="139" spans="1:3" ht="15" customHeight="1">
      <c r="A139" t="s">
        <v>408</v>
      </c>
      <c r="B139" s="8" t="s">
        <v>409</v>
      </c>
      <c r="C139" s="9" t="str">
        <f t="shared" si="2"/>
        <v>522A　在アイルランド大使館</v>
      </c>
    </row>
    <row r="140" spans="1:3" ht="15" customHeight="1">
      <c r="A140" t="s">
        <v>410</v>
      </c>
      <c r="B140" s="8" t="s">
        <v>411</v>
      </c>
      <c r="C140" s="9" t="str">
        <f t="shared" si="2"/>
        <v>530A　在アゼルバイジャン大使館</v>
      </c>
    </row>
    <row r="141" spans="1:3" ht="15" customHeight="1">
      <c r="A141" t="s">
        <v>412</v>
      </c>
      <c r="B141" s="8" t="s">
        <v>413</v>
      </c>
      <c r="C141" s="9" t="str">
        <f t="shared" si="2"/>
        <v>552A　在アルバニア大使館</v>
      </c>
    </row>
    <row r="142" spans="1:3" ht="15" customHeight="1">
      <c r="A142" t="s">
        <v>414</v>
      </c>
      <c r="B142" s="8" t="s">
        <v>415</v>
      </c>
      <c r="C142" s="9" t="str">
        <f t="shared" si="2"/>
        <v>531A　在アルメニア大使館</v>
      </c>
    </row>
    <row r="143" spans="1:3" ht="15" customHeight="1">
      <c r="A143" t="s">
        <v>416</v>
      </c>
      <c r="B143" s="8" t="s">
        <v>417</v>
      </c>
      <c r="C143" s="9" t="str">
        <f t="shared" si="2"/>
        <v>509A　在イタリア大使館</v>
      </c>
    </row>
    <row r="144" spans="1:3" ht="15" customHeight="1">
      <c r="A144" t="s">
        <v>418</v>
      </c>
      <c r="B144" s="8" t="s">
        <v>419</v>
      </c>
      <c r="C144" s="9" t="str">
        <f t="shared" si="2"/>
        <v>509D　在ミラノ総領事館</v>
      </c>
    </row>
    <row r="145" spans="1:3" ht="15" customHeight="1">
      <c r="A145" t="s">
        <v>420</v>
      </c>
      <c r="B145" s="8" t="s">
        <v>421</v>
      </c>
      <c r="C145" s="9" t="str">
        <f t="shared" si="2"/>
        <v>532A　在ウクライナ大使館</v>
      </c>
    </row>
    <row r="146" spans="1:3" ht="15" customHeight="1">
      <c r="A146" t="s">
        <v>422</v>
      </c>
      <c r="B146" s="8" t="s">
        <v>423</v>
      </c>
      <c r="C146" s="9" t="str">
        <f t="shared" si="2"/>
        <v>533A　在ウズベキスタン大使館</v>
      </c>
    </row>
    <row r="147" spans="1:3" ht="15" customHeight="1">
      <c r="A147" t="s">
        <v>424</v>
      </c>
      <c r="B147" s="8" t="s">
        <v>425</v>
      </c>
      <c r="C147" s="9" t="str">
        <f t="shared" si="2"/>
        <v>518A　在英国大使館</v>
      </c>
    </row>
    <row r="148" spans="1:3" ht="15" customHeight="1">
      <c r="A148" t="s">
        <v>426</v>
      </c>
      <c r="B148" s="8" t="s">
        <v>427</v>
      </c>
      <c r="C148" s="9" t="str">
        <f t="shared" si="2"/>
        <v>518E　在エディンバラ総領事館</v>
      </c>
    </row>
    <row r="149" spans="1:3" ht="15" customHeight="1">
      <c r="A149" t="s">
        <v>428</v>
      </c>
      <c r="B149" s="8" t="s">
        <v>429</v>
      </c>
      <c r="C149" s="9" t="str">
        <f t="shared" si="2"/>
        <v>527A　在エストニア大使館</v>
      </c>
    </row>
    <row r="150" spans="1:3" ht="15" customHeight="1">
      <c r="A150" t="s">
        <v>430</v>
      </c>
      <c r="B150" s="8" t="s">
        <v>431</v>
      </c>
      <c r="C150" s="9" t="str">
        <f t="shared" si="2"/>
        <v>501A　在オーストリア大使館</v>
      </c>
    </row>
    <row r="151" spans="1:3" ht="15" customHeight="1">
      <c r="A151" t="s">
        <v>432</v>
      </c>
      <c r="B151" s="8" t="s">
        <v>433</v>
      </c>
      <c r="C151" s="9" t="str">
        <f t="shared" si="2"/>
        <v>510A　在オランダ大使館</v>
      </c>
    </row>
    <row r="152" spans="1:3" ht="15" customHeight="1">
      <c r="A152" t="s">
        <v>434</v>
      </c>
      <c r="B152" s="8" t="s">
        <v>435</v>
      </c>
      <c r="C152" s="9" t="str">
        <f t="shared" si="2"/>
        <v>534A　在カザフスタン大使館</v>
      </c>
    </row>
    <row r="153" spans="1:3" ht="15" customHeight="1">
      <c r="A153" t="s">
        <v>436</v>
      </c>
      <c r="B153" s="8" t="s">
        <v>437</v>
      </c>
      <c r="C153" s="9" t="str">
        <f t="shared" si="2"/>
        <v>544A　在北マケドニア大使館</v>
      </c>
    </row>
    <row r="154" spans="1:3" ht="15" customHeight="1">
      <c r="A154" t="s">
        <v>438</v>
      </c>
      <c r="B154" s="8" t="s">
        <v>439</v>
      </c>
      <c r="C154" s="9" t="str">
        <f t="shared" si="2"/>
        <v>553A　在キプロス大使館</v>
      </c>
    </row>
    <row r="155" spans="1:3" ht="15" customHeight="1">
      <c r="A155" t="s">
        <v>440</v>
      </c>
      <c r="B155" s="8" t="s">
        <v>441</v>
      </c>
      <c r="C155" s="9" t="str">
        <f t="shared" si="2"/>
        <v>507A　在ギリシャ大使館</v>
      </c>
    </row>
    <row r="156" spans="1:3" ht="15" customHeight="1">
      <c r="A156" t="s">
        <v>442</v>
      </c>
      <c r="B156" s="8" t="s">
        <v>443</v>
      </c>
      <c r="C156" s="9" t="str">
        <f t="shared" si="2"/>
        <v>535A　在キルギス大使館</v>
      </c>
    </row>
    <row r="157" spans="1:3" ht="15" customHeight="1">
      <c r="A157" t="s">
        <v>444</v>
      </c>
      <c r="B157" s="8" t="s">
        <v>445</v>
      </c>
      <c r="C157" s="9" t="str">
        <f t="shared" si="2"/>
        <v>542A　在クロアチア大使館</v>
      </c>
    </row>
    <row r="158" spans="1:3" ht="15" customHeight="1">
      <c r="A158" t="s">
        <v>446</v>
      </c>
      <c r="B158" s="8" t="s">
        <v>447</v>
      </c>
      <c r="C158" s="9" t="str">
        <f t="shared" si="2"/>
        <v>551A　在コソボ大使館</v>
      </c>
    </row>
    <row r="159" spans="1:3" ht="15" customHeight="1">
      <c r="A159" t="s">
        <v>448</v>
      </c>
      <c r="B159" s="8" t="s">
        <v>449</v>
      </c>
      <c r="C159" s="9" t="str">
        <f t="shared" si="2"/>
        <v>546A　在サンマリノ大使館</v>
      </c>
    </row>
    <row r="160" spans="1:3" ht="15" customHeight="1">
      <c r="A160" t="s">
        <v>450</v>
      </c>
      <c r="B160" s="8" t="s">
        <v>451</v>
      </c>
      <c r="C160" s="9" t="str">
        <f t="shared" si="2"/>
        <v>540A　在ジョージア大使館</v>
      </c>
    </row>
    <row r="161" spans="1:3" ht="15" customHeight="1">
      <c r="A161" t="s">
        <v>452</v>
      </c>
      <c r="B161" s="8" t="s">
        <v>453</v>
      </c>
      <c r="C161" s="9" t="str">
        <f t="shared" si="2"/>
        <v>516A　在スイス大使館</v>
      </c>
    </row>
    <row r="162" spans="1:3" ht="15" customHeight="1">
      <c r="A162" t="s">
        <v>454</v>
      </c>
      <c r="B162" s="8" t="s">
        <v>455</v>
      </c>
      <c r="C162" s="9" t="str">
        <f t="shared" si="2"/>
        <v>516V　在ジュネーブ領事事務所</v>
      </c>
    </row>
    <row r="163" spans="1:3" ht="15" customHeight="1">
      <c r="A163" t="s">
        <v>456</v>
      </c>
      <c r="B163" s="8" t="s">
        <v>457</v>
      </c>
      <c r="C163" s="9" t="str">
        <f t="shared" si="2"/>
        <v>515A　在スウェーデン大使館</v>
      </c>
    </row>
    <row r="164" spans="1:3" ht="15" customHeight="1">
      <c r="A164" t="s">
        <v>458</v>
      </c>
      <c r="B164" s="8" t="s">
        <v>459</v>
      </c>
      <c r="C164" s="9" t="str">
        <f t="shared" si="2"/>
        <v>514A　在スペイン大使館</v>
      </c>
    </row>
    <row r="165" spans="1:3" ht="15" customHeight="1">
      <c r="A165" t="s">
        <v>460</v>
      </c>
      <c r="B165" s="8" t="s">
        <v>461</v>
      </c>
      <c r="C165" s="9" t="str">
        <f t="shared" si="2"/>
        <v>514V　在ラスパルマス領事事務所</v>
      </c>
    </row>
    <row r="166" spans="1:3" ht="15" customHeight="1">
      <c r="A166" t="s">
        <v>462</v>
      </c>
      <c r="B166" s="8" t="s">
        <v>463</v>
      </c>
      <c r="C166" s="9" t="str">
        <f t="shared" si="2"/>
        <v>514E　在バルセロナ総領事館</v>
      </c>
    </row>
    <row r="167" spans="1:3" ht="15" customHeight="1">
      <c r="A167" t="s">
        <v>464</v>
      </c>
      <c r="B167" s="8" t="s">
        <v>465</v>
      </c>
      <c r="C167" s="9" t="str">
        <f t="shared" si="2"/>
        <v>543A　在スロバキア大使館</v>
      </c>
    </row>
    <row r="168" spans="1:3" ht="15" customHeight="1">
      <c r="A168" t="s">
        <v>466</v>
      </c>
      <c r="B168" s="8" t="s">
        <v>467</v>
      </c>
      <c r="C168" s="9" t="str">
        <f t="shared" si="2"/>
        <v>541A　在スロベニア大使館</v>
      </c>
    </row>
    <row r="169" spans="1:3" ht="15" customHeight="1">
      <c r="A169" t="s">
        <v>468</v>
      </c>
      <c r="B169" s="8" t="s">
        <v>469</v>
      </c>
      <c r="C169" s="9" t="str">
        <f t="shared" si="2"/>
        <v>520A　在セルビア大使館</v>
      </c>
    </row>
    <row r="170" spans="1:3" ht="15" customHeight="1">
      <c r="A170" t="s">
        <v>470</v>
      </c>
      <c r="B170" s="8" t="s">
        <v>471</v>
      </c>
      <c r="C170" s="9" t="str">
        <f t="shared" si="2"/>
        <v>536A　在タジキスタン大使館</v>
      </c>
    </row>
    <row r="171" spans="1:3" ht="15" customHeight="1">
      <c r="A171" t="s">
        <v>472</v>
      </c>
      <c r="B171" s="8" t="s">
        <v>473</v>
      </c>
      <c r="C171" s="9" t="str">
        <f t="shared" si="2"/>
        <v>502A　在チェコ大使館</v>
      </c>
    </row>
    <row r="172" spans="1:3" ht="15" customHeight="1">
      <c r="A172" t="s">
        <v>474</v>
      </c>
      <c r="B172" s="8" t="s">
        <v>475</v>
      </c>
      <c r="C172" s="9" t="str">
        <f t="shared" si="2"/>
        <v>503A　在デンマーク大使館</v>
      </c>
    </row>
    <row r="173" spans="1:3" ht="15" customHeight="1">
      <c r="A173" t="s">
        <v>476</v>
      </c>
      <c r="B173" s="8" t="s">
        <v>477</v>
      </c>
      <c r="C173" s="9" t="str">
        <f t="shared" si="2"/>
        <v>506A　在ドイツ大使館</v>
      </c>
    </row>
    <row r="174" spans="1:3" ht="15" customHeight="1">
      <c r="A174" t="s">
        <v>478</v>
      </c>
      <c r="B174" s="8" t="s">
        <v>479</v>
      </c>
      <c r="C174" s="9" t="str">
        <f t="shared" si="2"/>
        <v>506F　在デュッセルドルフ総領事館</v>
      </c>
    </row>
    <row r="175" spans="1:3" ht="15" customHeight="1">
      <c r="A175" t="s">
        <v>480</v>
      </c>
      <c r="B175" s="8" t="s">
        <v>481</v>
      </c>
      <c r="C175" s="9" t="str">
        <f t="shared" si="2"/>
        <v>506E　在ハンブルク総領事館</v>
      </c>
    </row>
    <row r="176" spans="1:3" ht="15" customHeight="1">
      <c r="A176" t="s">
        <v>482</v>
      </c>
      <c r="B176" s="8" t="s">
        <v>483</v>
      </c>
      <c r="C176" s="9" t="str">
        <f t="shared" si="2"/>
        <v>506I　在フランクフルト総領事館</v>
      </c>
    </row>
    <row r="177" spans="1:3" ht="15" customHeight="1">
      <c r="A177" t="s">
        <v>484</v>
      </c>
      <c r="B177" s="8" t="s">
        <v>485</v>
      </c>
      <c r="C177" s="9" t="str">
        <f t="shared" si="2"/>
        <v>506G　在ミュンヘン総領事館</v>
      </c>
    </row>
    <row r="178" spans="1:3" ht="15" customHeight="1">
      <c r="A178" t="s">
        <v>486</v>
      </c>
      <c r="B178" s="8" t="s">
        <v>487</v>
      </c>
      <c r="C178" s="9" t="str">
        <f t="shared" si="2"/>
        <v>537A　在トルクメニスタン大使館</v>
      </c>
    </row>
    <row r="179" spans="1:3" ht="15" customHeight="1">
      <c r="A179" t="s">
        <v>488</v>
      </c>
      <c r="B179" s="8" t="s">
        <v>489</v>
      </c>
      <c r="C179" s="9" t="str">
        <f t="shared" si="2"/>
        <v>511A　在ノルウェー大使館</v>
      </c>
    </row>
    <row r="180" spans="1:3" ht="15" customHeight="1">
      <c r="A180" t="s">
        <v>490</v>
      </c>
      <c r="B180" s="8" t="s">
        <v>491</v>
      </c>
      <c r="C180" s="9" t="str">
        <f t="shared" si="2"/>
        <v>519A　在バチカン大使館</v>
      </c>
    </row>
    <row r="181" spans="1:3" ht="15" customHeight="1">
      <c r="A181" t="s">
        <v>492</v>
      </c>
      <c r="B181" s="8" t="s">
        <v>493</v>
      </c>
      <c r="C181" s="9" t="str">
        <f t="shared" si="2"/>
        <v>508A　在ハンガリー大使館</v>
      </c>
    </row>
    <row r="182" spans="1:3" ht="15" customHeight="1">
      <c r="A182" t="s">
        <v>494</v>
      </c>
      <c r="B182" s="8" t="s">
        <v>495</v>
      </c>
      <c r="C182" s="9" t="str">
        <f t="shared" si="2"/>
        <v>504A　在フィンランド大使館</v>
      </c>
    </row>
    <row r="183" spans="1:3" ht="15" customHeight="1">
      <c r="A183" t="s">
        <v>496</v>
      </c>
      <c r="B183" s="8" t="s">
        <v>497</v>
      </c>
      <c r="C183" s="9" t="str">
        <f t="shared" si="2"/>
        <v>505A　在フランス大使館</v>
      </c>
    </row>
    <row r="184" spans="1:3" ht="15" customHeight="1">
      <c r="A184" t="s">
        <v>498</v>
      </c>
      <c r="B184" s="8" t="s">
        <v>499</v>
      </c>
      <c r="C184" s="9" t="str">
        <f t="shared" si="2"/>
        <v>505F　在ストラスブール総領事館</v>
      </c>
    </row>
    <row r="185" spans="1:3" ht="15" customHeight="1">
      <c r="A185" t="s">
        <v>500</v>
      </c>
      <c r="B185" s="8" t="s">
        <v>501</v>
      </c>
      <c r="C185" s="9" t="str">
        <f t="shared" si="2"/>
        <v>505E　在マルセイユ総領事館</v>
      </c>
    </row>
    <row r="186" spans="1:3" ht="15" customHeight="1">
      <c r="A186" t="s">
        <v>502</v>
      </c>
      <c r="B186" s="8" t="s">
        <v>503</v>
      </c>
      <c r="C186" s="9" t="str">
        <f t="shared" si="2"/>
        <v>505H　在リヨン領事事務所</v>
      </c>
    </row>
    <row r="187" spans="1:3" ht="15" customHeight="1">
      <c r="A187" t="s">
        <v>504</v>
      </c>
      <c r="B187" s="8" t="s">
        <v>505</v>
      </c>
      <c r="C187" s="9" t="str">
        <f t="shared" si="2"/>
        <v>524A　在ブルガリア大使館</v>
      </c>
    </row>
    <row r="188" spans="1:3" ht="15" customHeight="1">
      <c r="A188" t="s">
        <v>506</v>
      </c>
      <c r="B188" s="8" t="s">
        <v>507</v>
      </c>
      <c r="C188" s="9" t="str">
        <f t="shared" si="2"/>
        <v>538A　在ベラルーシ大使館</v>
      </c>
    </row>
    <row r="189" spans="1:3" ht="15" customHeight="1">
      <c r="A189" t="s">
        <v>508</v>
      </c>
      <c r="B189" s="8" t="s">
        <v>509</v>
      </c>
      <c r="C189" s="9" t="str">
        <f t="shared" si="2"/>
        <v>521A　在ベルギー大使館</v>
      </c>
    </row>
    <row r="190" spans="1:3" ht="15" customHeight="1">
      <c r="A190" t="s">
        <v>510</v>
      </c>
      <c r="B190" s="8" t="s">
        <v>511</v>
      </c>
      <c r="C190" s="9" t="str">
        <f t="shared" si="2"/>
        <v>512A　在ポーランド大使館</v>
      </c>
    </row>
    <row r="191" spans="1:3" ht="15" customHeight="1">
      <c r="A191" t="s">
        <v>512</v>
      </c>
      <c r="B191" s="8" t="s">
        <v>513</v>
      </c>
      <c r="C191" s="9" t="str">
        <f t="shared" si="2"/>
        <v>547A　在ボスニア・ヘルツェゴビナ大使館</v>
      </c>
    </row>
    <row r="192" spans="1:3" ht="15" customHeight="1">
      <c r="A192" t="s">
        <v>514</v>
      </c>
      <c r="B192" s="8" t="s">
        <v>515</v>
      </c>
      <c r="C192" s="9" t="str">
        <f t="shared" si="2"/>
        <v>513A　在ポルトガル大使館</v>
      </c>
    </row>
    <row r="193" spans="1:3" ht="15" customHeight="1">
      <c r="A193" t="s">
        <v>516</v>
      </c>
      <c r="B193" s="8" t="s">
        <v>517</v>
      </c>
      <c r="C193" s="9" t="str">
        <f t="shared" si="2"/>
        <v>750A　在マルタ大使館</v>
      </c>
    </row>
    <row r="194" spans="1:3" ht="15" customHeight="1">
      <c r="A194" t="s">
        <v>518</v>
      </c>
      <c r="B194" s="8" t="s">
        <v>519</v>
      </c>
      <c r="C194" s="9" t="str">
        <f t="shared" si="2"/>
        <v>550A　在モナコ大使館</v>
      </c>
    </row>
    <row r="195" spans="1:3" ht="15" customHeight="1">
      <c r="A195" t="s">
        <v>520</v>
      </c>
      <c r="B195" s="8" t="s">
        <v>521</v>
      </c>
      <c r="C195" s="9" t="str">
        <f t="shared" si="2"/>
        <v>539A　在モルドバ大使館</v>
      </c>
    </row>
    <row r="196" spans="1:3" ht="15" customHeight="1">
      <c r="A196" t="s">
        <v>522</v>
      </c>
      <c r="B196" s="8" t="s">
        <v>523</v>
      </c>
      <c r="C196" s="9" t="str">
        <f t="shared" ref="C196:C259" si="3">A196&amp;"　"&amp;B196</f>
        <v>549A　在モンテネグロ大使館</v>
      </c>
    </row>
    <row r="197" spans="1:3" ht="15" customHeight="1">
      <c r="A197" t="s">
        <v>524</v>
      </c>
      <c r="B197" s="8" t="s">
        <v>525</v>
      </c>
      <c r="C197" s="9" t="str">
        <f t="shared" si="3"/>
        <v>528A　在ラトビア大使館</v>
      </c>
    </row>
    <row r="198" spans="1:3" ht="15" customHeight="1">
      <c r="A198" t="s">
        <v>526</v>
      </c>
      <c r="B198" s="8" t="s">
        <v>527</v>
      </c>
      <c r="C198" s="9" t="str">
        <f t="shared" si="3"/>
        <v>529A　在リトアニア大使館</v>
      </c>
    </row>
    <row r="199" spans="1:3" ht="15" customHeight="1">
      <c r="A199" t="s">
        <v>528</v>
      </c>
      <c r="B199" s="8" t="s">
        <v>529</v>
      </c>
      <c r="C199" s="9" t="str">
        <f t="shared" si="3"/>
        <v>548A　在リヒテンシュタイン大使館</v>
      </c>
    </row>
    <row r="200" spans="1:3" ht="15" customHeight="1">
      <c r="A200" t="s">
        <v>530</v>
      </c>
      <c r="B200" s="8" t="s">
        <v>531</v>
      </c>
      <c r="C200" s="9" t="str">
        <f t="shared" si="3"/>
        <v>523A　在ルーマニア大使館</v>
      </c>
    </row>
    <row r="201" spans="1:3" ht="15" customHeight="1">
      <c r="A201" t="s">
        <v>532</v>
      </c>
      <c r="B201" s="8" t="s">
        <v>533</v>
      </c>
      <c r="C201" s="9" t="str">
        <f t="shared" si="3"/>
        <v>526A　在ルクセンブルク大使館</v>
      </c>
    </row>
    <row r="202" spans="1:3" ht="15" customHeight="1">
      <c r="A202" t="s">
        <v>534</v>
      </c>
      <c r="B202" s="8" t="s">
        <v>535</v>
      </c>
      <c r="C202" s="9" t="str">
        <f t="shared" si="3"/>
        <v>517A　在ロシア大使館</v>
      </c>
    </row>
    <row r="203" spans="1:3" ht="15" customHeight="1">
      <c r="A203" t="s">
        <v>536</v>
      </c>
      <c r="B203" s="8" t="s">
        <v>537</v>
      </c>
      <c r="C203" s="9" t="str">
        <f t="shared" si="3"/>
        <v>517G　在ウラジオストク総領事館</v>
      </c>
    </row>
    <row r="204" spans="1:3" ht="15" customHeight="1">
      <c r="A204" t="s">
        <v>538</v>
      </c>
      <c r="B204" s="8" t="s">
        <v>539</v>
      </c>
      <c r="C204" s="9" t="str">
        <f t="shared" si="3"/>
        <v>517F　在サンクトペテルブルク総領事館</v>
      </c>
    </row>
    <row r="205" spans="1:3" ht="15" customHeight="1">
      <c r="A205" t="s">
        <v>540</v>
      </c>
      <c r="B205" s="8" t="s">
        <v>541</v>
      </c>
      <c r="C205" s="9" t="str">
        <f t="shared" si="3"/>
        <v>517E　在ハバロフスク総領事館</v>
      </c>
    </row>
    <row r="206" spans="1:3" ht="15" customHeight="1">
      <c r="A206" t="s">
        <v>542</v>
      </c>
      <c r="B206" s="8" t="s">
        <v>543</v>
      </c>
      <c r="C206" s="9" t="str">
        <f t="shared" si="3"/>
        <v>517V　在ユジノサハリンスク総領事館</v>
      </c>
    </row>
    <row r="207" spans="1:3" ht="15" customHeight="1">
      <c r="A207" t="s">
        <v>454</v>
      </c>
      <c r="B207" s="8" t="s">
        <v>455</v>
      </c>
      <c r="C207" s="9" t="str">
        <f t="shared" si="3"/>
        <v>516V　在ジュネーブ領事事務所</v>
      </c>
    </row>
    <row r="208" spans="1:3" ht="15" customHeight="1">
      <c r="A208" t="s">
        <v>544</v>
      </c>
      <c r="B208" s="8" t="s">
        <v>545</v>
      </c>
      <c r="C208" s="9" t="str">
        <f t="shared" si="3"/>
        <v>701A　在アフガニスタン大使館</v>
      </c>
    </row>
    <row r="209" spans="1:3" ht="15" customHeight="1">
      <c r="A209" t="s">
        <v>546</v>
      </c>
      <c r="B209" s="8" t="s">
        <v>547</v>
      </c>
      <c r="C209" s="9" t="str">
        <f t="shared" si="3"/>
        <v>755A　在アラブ首長国連邦大使館</v>
      </c>
    </row>
    <row r="210" spans="1:3" ht="15" customHeight="1">
      <c r="A210" t="s">
        <v>548</v>
      </c>
      <c r="B210" s="8" t="s">
        <v>549</v>
      </c>
      <c r="C210" s="9" t="str">
        <f t="shared" si="3"/>
        <v>755D　在ドバイ総領事館</v>
      </c>
    </row>
    <row r="211" spans="1:3" ht="15" customHeight="1">
      <c r="A211" t="s">
        <v>550</v>
      </c>
      <c r="B211" s="8" t="s">
        <v>551</v>
      </c>
      <c r="C211" s="9" t="str">
        <f t="shared" si="3"/>
        <v>759A　在イエメン大使館</v>
      </c>
    </row>
    <row r="212" spans="1:3" ht="15" customHeight="1">
      <c r="A212" t="s">
        <v>552</v>
      </c>
      <c r="B212" s="8" t="s">
        <v>553</v>
      </c>
      <c r="C212" s="9" t="str">
        <f t="shared" si="3"/>
        <v>705A　在イスラエル大使館</v>
      </c>
    </row>
    <row r="213" spans="1:3" ht="15" customHeight="1">
      <c r="A213" t="s">
        <v>554</v>
      </c>
      <c r="B213" s="8" t="s">
        <v>555</v>
      </c>
      <c r="C213" s="9" t="str">
        <f t="shared" si="3"/>
        <v>705W　在ラマッラ出張駐在官事務所</v>
      </c>
    </row>
    <row r="214" spans="1:3" ht="15" customHeight="1">
      <c r="A214" t="s">
        <v>556</v>
      </c>
      <c r="B214" s="8" t="s">
        <v>557</v>
      </c>
      <c r="C214" s="9" t="str">
        <f t="shared" si="3"/>
        <v>704A　在イラク大使館</v>
      </c>
    </row>
    <row r="215" spans="1:3" ht="15" customHeight="1">
      <c r="A215" t="s">
        <v>558</v>
      </c>
      <c r="B215" s="8" t="s">
        <v>559</v>
      </c>
      <c r="C215" s="9" t="str">
        <f t="shared" si="3"/>
        <v>704W　在エルビル領事事務所</v>
      </c>
    </row>
    <row r="216" spans="1:3" ht="15" customHeight="1">
      <c r="A216" t="s">
        <v>560</v>
      </c>
      <c r="B216" s="8" t="s">
        <v>561</v>
      </c>
      <c r="C216" s="9" t="str">
        <f t="shared" si="3"/>
        <v>703A　在イラン大使館</v>
      </c>
    </row>
    <row r="217" spans="1:3" ht="15" customHeight="1">
      <c r="A217" t="s">
        <v>562</v>
      </c>
      <c r="B217" s="8" t="s">
        <v>563</v>
      </c>
      <c r="C217" s="9" t="str">
        <f t="shared" si="3"/>
        <v>761A　在オマーン大使館</v>
      </c>
    </row>
    <row r="218" spans="1:3" ht="15" customHeight="1">
      <c r="A218" t="s">
        <v>564</v>
      </c>
      <c r="B218" s="8" t="s">
        <v>565</v>
      </c>
      <c r="C218" s="9" t="str">
        <f t="shared" si="3"/>
        <v>756A　在カタール大使館</v>
      </c>
    </row>
    <row r="219" spans="1:3" ht="15" customHeight="1">
      <c r="A219" t="s">
        <v>566</v>
      </c>
      <c r="B219" s="8" t="s">
        <v>567</v>
      </c>
      <c r="C219" s="9" t="str">
        <f t="shared" si="3"/>
        <v>706A　在クウェート大使館</v>
      </c>
    </row>
    <row r="220" spans="1:3" ht="15" customHeight="1">
      <c r="A220" t="s">
        <v>568</v>
      </c>
      <c r="B220" s="8" t="s">
        <v>569</v>
      </c>
      <c r="C220" s="9" t="str">
        <f t="shared" si="3"/>
        <v>708A　在サウジアラビア大使館</v>
      </c>
    </row>
    <row r="221" spans="1:3" ht="15" customHeight="1">
      <c r="A221" t="s">
        <v>570</v>
      </c>
      <c r="B221" s="8" t="s">
        <v>571</v>
      </c>
      <c r="C221" s="9" t="str">
        <f t="shared" si="3"/>
        <v>708D　在ジッダ総領事館</v>
      </c>
    </row>
    <row r="222" spans="1:3" ht="15" customHeight="1">
      <c r="A222" t="s">
        <v>572</v>
      </c>
      <c r="B222" s="8" t="s">
        <v>573</v>
      </c>
      <c r="C222" s="9" t="str">
        <f t="shared" si="3"/>
        <v>702A　在シリア大使館</v>
      </c>
    </row>
    <row r="223" spans="1:3" ht="15" customHeight="1">
      <c r="A223" t="s">
        <v>574</v>
      </c>
      <c r="B223" s="8" t="s">
        <v>575</v>
      </c>
      <c r="C223" s="9" t="str">
        <f t="shared" si="3"/>
        <v>709A　在トルコ大使館</v>
      </c>
    </row>
    <row r="224" spans="1:3" ht="15" customHeight="1">
      <c r="A224" t="s">
        <v>576</v>
      </c>
      <c r="B224" s="8" t="s">
        <v>577</v>
      </c>
      <c r="C224" s="9" t="str">
        <f t="shared" si="3"/>
        <v>709T　在イスタンブール総領事館</v>
      </c>
    </row>
    <row r="225" spans="1:3" ht="15" customHeight="1">
      <c r="A225" t="s">
        <v>578</v>
      </c>
      <c r="B225" s="8" t="s">
        <v>579</v>
      </c>
      <c r="C225" s="9" t="str">
        <f t="shared" si="3"/>
        <v>727A　在バーレーン大使館</v>
      </c>
    </row>
    <row r="226" spans="1:3" ht="15" customHeight="1">
      <c r="A226" t="s">
        <v>580</v>
      </c>
      <c r="B226" s="8" t="s">
        <v>581</v>
      </c>
      <c r="C226" s="9" t="str">
        <f t="shared" si="3"/>
        <v>757A　在ヨルダン大使館</v>
      </c>
    </row>
    <row r="227" spans="1:3" ht="15" customHeight="1">
      <c r="A227" t="s">
        <v>582</v>
      </c>
      <c r="B227" s="8" t="s">
        <v>583</v>
      </c>
      <c r="C227" s="9" t="str">
        <f t="shared" si="3"/>
        <v>707A　在レバノン大使館</v>
      </c>
    </row>
    <row r="228" spans="1:3" ht="15" customHeight="1">
      <c r="A228" t="s">
        <v>584</v>
      </c>
      <c r="B228" s="8" t="s">
        <v>585</v>
      </c>
      <c r="C228" s="9" t="str">
        <f t="shared" si="3"/>
        <v>722A　在アルジェリア大使館</v>
      </c>
    </row>
    <row r="229" spans="1:3" ht="15" customHeight="1">
      <c r="A229" t="s">
        <v>586</v>
      </c>
      <c r="B229" s="8" t="s">
        <v>587</v>
      </c>
      <c r="C229" s="9" t="str">
        <f t="shared" si="3"/>
        <v>731A　在アンゴラ大使館</v>
      </c>
    </row>
    <row r="230" spans="1:3" ht="15" customHeight="1">
      <c r="A230" t="s">
        <v>588</v>
      </c>
      <c r="B230" s="8" t="s">
        <v>589</v>
      </c>
      <c r="C230" s="9" t="str">
        <f t="shared" si="3"/>
        <v>764A　在ウガンダ大使館</v>
      </c>
    </row>
    <row r="231" spans="1:3" ht="15" customHeight="1">
      <c r="A231" t="s">
        <v>590</v>
      </c>
      <c r="B231" s="8" t="s">
        <v>591</v>
      </c>
      <c r="C231" s="9" t="str">
        <f t="shared" si="3"/>
        <v>720A　在エジプト大使館</v>
      </c>
    </row>
    <row r="232" spans="1:3" ht="15" customHeight="1">
      <c r="A232" t="s">
        <v>592</v>
      </c>
      <c r="B232" s="8" t="s">
        <v>593</v>
      </c>
      <c r="C232" s="9" t="str">
        <f t="shared" si="3"/>
        <v>711A　在エチオピア大使館</v>
      </c>
    </row>
    <row r="233" spans="1:3" ht="15" customHeight="1">
      <c r="A233" t="s">
        <v>594</v>
      </c>
      <c r="B233" s="8" t="s">
        <v>595</v>
      </c>
      <c r="C233" s="9" t="str">
        <f t="shared" si="3"/>
        <v>711C　アフリカ連合日本政府代表部</v>
      </c>
    </row>
    <row r="234" spans="1:3" ht="15" customHeight="1">
      <c r="A234" t="s">
        <v>596</v>
      </c>
      <c r="B234" s="8" t="s">
        <v>597</v>
      </c>
      <c r="C234" s="9" t="str">
        <f t="shared" si="3"/>
        <v>712A　在ガーナ大使館</v>
      </c>
    </row>
    <row r="235" spans="1:3" ht="15" customHeight="1">
      <c r="A235" t="s">
        <v>598</v>
      </c>
      <c r="B235" s="8" t="s">
        <v>599</v>
      </c>
      <c r="C235" s="9" t="str">
        <f t="shared" si="3"/>
        <v>752A　在ガボン大使館</v>
      </c>
    </row>
    <row r="236" spans="1:3" ht="15" customHeight="1">
      <c r="A236" t="s">
        <v>600</v>
      </c>
      <c r="B236" s="8" t="s">
        <v>601</v>
      </c>
      <c r="C236" s="9" t="str">
        <f t="shared" si="3"/>
        <v>753A　在カメルーン大使館</v>
      </c>
    </row>
    <row r="237" spans="1:3" ht="15" customHeight="1">
      <c r="A237" t="s">
        <v>602</v>
      </c>
      <c r="B237" s="8" t="s">
        <v>603</v>
      </c>
      <c r="C237" s="9" t="str">
        <f t="shared" si="3"/>
        <v>758A　在ギニア大使館</v>
      </c>
    </row>
    <row r="238" spans="1:3" ht="15" customHeight="1">
      <c r="A238" t="s">
        <v>604</v>
      </c>
      <c r="B238" s="8" t="s">
        <v>605</v>
      </c>
      <c r="C238" s="9" t="str">
        <f t="shared" si="3"/>
        <v>713A　在ケニア大使館</v>
      </c>
    </row>
    <row r="239" spans="1:3" ht="15" customHeight="1">
      <c r="A239" t="s">
        <v>606</v>
      </c>
      <c r="B239" s="8" t="s">
        <v>607</v>
      </c>
      <c r="C239" s="9" t="str">
        <f t="shared" si="3"/>
        <v>721A　在コートジボワール大使館</v>
      </c>
    </row>
    <row r="240" spans="1:3" ht="15" customHeight="1">
      <c r="A240" t="s">
        <v>608</v>
      </c>
      <c r="B240" s="8" t="s">
        <v>609</v>
      </c>
      <c r="C240" s="9" t="str">
        <f t="shared" si="3"/>
        <v>710A　在コンゴ民主共和国大使館</v>
      </c>
    </row>
    <row r="241" spans="1:3" ht="15" customHeight="1">
      <c r="A241" t="s">
        <v>610</v>
      </c>
      <c r="B241" s="8" t="s">
        <v>611</v>
      </c>
      <c r="C241" s="9" t="str">
        <f t="shared" si="3"/>
        <v>725A　在ザンビア大使館</v>
      </c>
    </row>
    <row r="242" spans="1:3" ht="15" customHeight="1">
      <c r="A242" t="s">
        <v>612</v>
      </c>
      <c r="B242" s="8" t="s">
        <v>613</v>
      </c>
      <c r="C242" s="9" t="str">
        <f t="shared" si="3"/>
        <v>767A　在ジブチ大使館</v>
      </c>
    </row>
    <row r="243" spans="1:3" ht="15" customHeight="1">
      <c r="A243" t="s">
        <v>614</v>
      </c>
      <c r="B243" s="8" t="s">
        <v>615</v>
      </c>
      <c r="C243" s="9" t="str">
        <f t="shared" si="3"/>
        <v>762A　在ジンバブエ大使館</v>
      </c>
    </row>
    <row r="244" spans="1:3" ht="15" customHeight="1">
      <c r="A244" t="s">
        <v>616</v>
      </c>
      <c r="B244" s="8" t="s">
        <v>617</v>
      </c>
      <c r="C244" s="9" t="str">
        <f t="shared" si="3"/>
        <v>719A　在スーダン大使館</v>
      </c>
    </row>
    <row r="245" spans="1:3" ht="15" customHeight="1">
      <c r="A245" t="s">
        <v>618</v>
      </c>
      <c r="B245" s="8" t="s">
        <v>619</v>
      </c>
      <c r="C245" s="9" t="str">
        <f t="shared" si="3"/>
        <v>768A　在セーシェル大使館</v>
      </c>
    </row>
    <row r="246" spans="1:3" ht="15" customHeight="1">
      <c r="A246" t="s">
        <v>620</v>
      </c>
      <c r="B246" s="8" t="s">
        <v>621</v>
      </c>
      <c r="C246" s="9" t="str">
        <f t="shared" si="3"/>
        <v>717A　在セネガル大使館</v>
      </c>
    </row>
    <row r="247" spans="1:3" ht="15" customHeight="1">
      <c r="A247" t="s">
        <v>622</v>
      </c>
      <c r="B247" s="8" t="s">
        <v>623</v>
      </c>
      <c r="C247" s="9" t="str">
        <f t="shared" si="3"/>
        <v>723A　在タンザニア大使館</v>
      </c>
    </row>
    <row r="248" spans="1:3" ht="15" customHeight="1">
      <c r="A248" t="s">
        <v>624</v>
      </c>
      <c r="B248" s="8" t="s">
        <v>625</v>
      </c>
      <c r="C248" s="9" t="str">
        <f t="shared" si="3"/>
        <v>724A　在チュニジア大使館</v>
      </c>
    </row>
    <row r="249" spans="1:3" ht="15" customHeight="1">
      <c r="A249" t="s">
        <v>626</v>
      </c>
      <c r="B249" s="8" t="s">
        <v>627</v>
      </c>
      <c r="C249" s="9" t="str">
        <f t="shared" si="3"/>
        <v>715A　在ナイジェリア大使館</v>
      </c>
    </row>
    <row r="250" spans="1:3" ht="15" customHeight="1">
      <c r="A250" t="s">
        <v>628</v>
      </c>
      <c r="B250" s="8" t="s">
        <v>629</v>
      </c>
      <c r="C250" s="9" t="str">
        <f t="shared" si="3"/>
        <v>738A　在ナミビア大使館</v>
      </c>
    </row>
    <row r="251" spans="1:3" ht="15" customHeight="1">
      <c r="A251" t="s">
        <v>630</v>
      </c>
      <c r="B251" s="8" t="s">
        <v>631</v>
      </c>
      <c r="C251" s="9" t="str">
        <f t="shared" si="3"/>
        <v>735A　在ブルキナファソ大使館</v>
      </c>
    </row>
    <row r="252" spans="1:3" ht="15" customHeight="1">
      <c r="A252" t="s">
        <v>632</v>
      </c>
      <c r="B252" s="8" t="s">
        <v>633</v>
      </c>
      <c r="C252" s="9" t="str">
        <f t="shared" si="3"/>
        <v>765A　在ベナン大使館</v>
      </c>
    </row>
    <row r="253" spans="1:3" ht="15" customHeight="1">
      <c r="A253" t="s">
        <v>634</v>
      </c>
      <c r="B253" s="8" t="s">
        <v>635</v>
      </c>
      <c r="C253" s="9" t="str">
        <f t="shared" si="3"/>
        <v>732A　在ボツワナ大使館</v>
      </c>
    </row>
    <row r="254" spans="1:3" ht="15" customHeight="1">
      <c r="A254" t="s">
        <v>636</v>
      </c>
      <c r="B254" s="8" t="s">
        <v>637</v>
      </c>
      <c r="C254" s="9" t="str">
        <f t="shared" si="3"/>
        <v>730A　在マダガスカル大使館</v>
      </c>
    </row>
    <row r="255" spans="1:3" ht="15" customHeight="1">
      <c r="A255" t="s">
        <v>638</v>
      </c>
      <c r="B255" s="8" t="s">
        <v>639</v>
      </c>
      <c r="C255" s="9" t="str">
        <f t="shared" si="3"/>
        <v>733A　在マラウイ大使館</v>
      </c>
    </row>
    <row r="256" spans="1:3" ht="15" customHeight="1">
      <c r="A256" t="s">
        <v>640</v>
      </c>
      <c r="B256" s="8" t="s">
        <v>641</v>
      </c>
      <c r="C256" s="9" t="str">
        <f t="shared" si="3"/>
        <v>734A　在マリ大使館</v>
      </c>
    </row>
    <row r="257" spans="1:3" ht="15" customHeight="1">
      <c r="A257" t="s">
        <v>642</v>
      </c>
      <c r="B257" s="8" t="s">
        <v>643</v>
      </c>
      <c r="C257" s="9" t="str">
        <f t="shared" si="3"/>
        <v>718A　在南アフリカ共和国大使館</v>
      </c>
    </row>
    <row r="258" spans="1:3" ht="15" customHeight="1">
      <c r="A258" t="s">
        <v>644</v>
      </c>
      <c r="B258" s="8" t="s">
        <v>645</v>
      </c>
      <c r="C258" s="9" t="str">
        <f t="shared" si="3"/>
        <v>018D　在ケープタウン領事事務所</v>
      </c>
    </row>
    <row r="259" spans="1:3" ht="15" customHeight="1">
      <c r="A259" t="s">
        <v>646</v>
      </c>
      <c r="B259" s="8" t="s">
        <v>647</v>
      </c>
      <c r="C259" s="9" t="str">
        <f t="shared" si="3"/>
        <v>736A　在モーリタニア大使館</v>
      </c>
    </row>
    <row r="260" spans="1:3" ht="15" customHeight="1">
      <c r="A260" t="s">
        <v>648</v>
      </c>
      <c r="B260" s="8" t="s">
        <v>649</v>
      </c>
      <c r="C260" s="9" t="str">
        <f t="shared" ref="C260:C323" si="4">A260&amp;"　"&amp;B260</f>
        <v>763A　在モザンビーク大使館</v>
      </c>
    </row>
    <row r="261" spans="1:3" ht="15" customHeight="1">
      <c r="A261" t="s">
        <v>650</v>
      </c>
      <c r="B261" s="8" t="s">
        <v>651</v>
      </c>
      <c r="C261" s="9" t="str">
        <f t="shared" si="4"/>
        <v>714A　在モロッコ大使館</v>
      </c>
    </row>
    <row r="262" spans="1:3" ht="15" customHeight="1">
      <c r="A262" t="s">
        <v>652</v>
      </c>
      <c r="B262" s="8" t="s">
        <v>653</v>
      </c>
      <c r="C262" s="9" t="str">
        <f t="shared" si="4"/>
        <v>751A　在リビア大使館</v>
      </c>
    </row>
    <row r="263" spans="1:3" ht="15" customHeight="1">
      <c r="A263" t="s">
        <v>654</v>
      </c>
      <c r="B263" s="8" t="s">
        <v>655</v>
      </c>
      <c r="C263" s="9" t="str">
        <f t="shared" si="4"/>
        <v>766A　在ルワンダ大使館</v>
      </c>
    </row>
    <row r="264" spans="1:3" ht="15" customHeight="1">
      <c r="A264" t="s">
        <v>656</v>
      </c>
      <c r="B264" s="8" t="s">
        <v>657</v>
      </c>
      <c r="C264" s="9" t="str">
        <f t="shared" si="4"/>
        <v>737A　在南スーダン大使館</v>
      </c>
    </row>
    <row r="265" spans="1:3" ht="15" customHeight="1">
      <c r="A265" t="s">
        <v>658</v>
      </c>
      <c r="B265" s="8" t="s">
        <v>659</v>
      </c>
      <c r="C265" s="9" t="str">
        <f t="shared" si="4"/>
        <v>739A　在モーリシャス大使館</v>
      </c>
    </row>
  </sheetData>
  <phoneticPr fontId="26"/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4</vt:i4>
      </vt:variant>
    </vt:vector>
  </HeadingPairs>
  <TitlesOfParts>
    <vt:vector size="11" baseType="lpstr">
      <vt:lpstr>入力</vt:lpstr>
      <vt:lpstr>診断書</vt:lpstr>
      <vt:lpstr>指示書</vt:lpstr>
      <vt:lpstr>入力ガイド</vt:lpstr>
      <vt:lpstr>日付選択肢</vt:lpstr>
      <vt:lpstr>用法用量マスタ</vt:lpstr>
      <vt:lpstr>在外公館リスト</vt:lpstr>
      <vt:lpstr>指示書!Print_Area</vt:lpstr>
      <vt:lpstr>診断書!Print_Area</vt:lpstr>
      <vt:lpstr>入力!Print_Area</vt:lpstr>
      <vt:lpstr>在外公館リスト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YUSUKE HOSHINO</cp:lastModifiedBy>
  <cp:revision>0</cp:revision>
  <dcterms:created xsi:type="dcterms:W3CDTF">2026-08-14T09:04:20Z</dcterms:created>
  <dcterms:modified xsi:type="dcterms:W3CDTF">2026-08-29T13:11:06Z</dcterms:modified>
  <dc:language>en-US</dc:language>
</cp:coreProperties>
</file>